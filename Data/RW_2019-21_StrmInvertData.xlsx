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M:\Divisions\Natural Resources\Wildlife\Invertebrates\FRESHWATER\I&amp;M\JLee_RW_TV\MUWOAssessment\Data\"/>
    </mc:Choice>
  </mc:AlternateContent>
  <xr:revisionPtr revIDLastSave="0" documentId="13_ncr:1_{21D2921F-6DD8-4D0F-920B-FA0A3B787199}" xr6:coauthVersionLast="47" xr6:coauthVersionMax="47" xr10:uidLastSave="{00000000-0000-0000-0000-000000000000}"/>
  <bookViews>
    <workbookView xWindow="28690" yWindow="-110" windowWidth="29020" windowHeight="15700" activeTab="2" xr2:uid="{00000000-000D-0000-FFFF-FFFF00000000}"/>
  </bookViews>
  <sheets>
    <sheet name="!Readme" sheetId="1" r:id="rId1"/>
    <sheet name="CollectionInfo2019" sheetId="2" r:id="rId2"/>
    <sheet name="CollectionInfo2020" sheetId="3" r:id="rId3"/>
    <sheet name="2021EventSummary" sheetId="6" r:id="rId4"/>
    <sheet name="CollectionInfo2021" sheetId="4" r:id="rId5"/>
  </sheets>
  <definedNames>
    <definedName name="_xlnm._FilterDatabase" localSheetId="4" hidden="1">CollectionInfo2021!$A$1:$W$61</definedName>
    <definedName name="_xlnm.Print_Area" localSheetId="1">CollectionInfo2019!$A$1:$W$37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4" l="1"/>
  <c r="O37" i="4"/>
  <c r="O36" i="4"/>
  <c r="O35" i="4"/>
  <c r="O34" i="4"/>
  <c r="O29" i="4"/>
  <c r="O28" i="4"/>
  <c r="O27" i="4"/>
  <c r="K3" i="3" l="1"/>
  <c r="L3" i="3"/>
  <c r="K4" i="3"/>
  <c r="L4" i="3"/>
  <c r="K5" i="3"/>
  <c r="L5" i="3"/>
  <c r="K6" i="3"/>
  <c r="L6" i="3"/>
  <c r="K7" i="3"/>
  <c r="M7" i="3" s="1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L2" i="3"/>
  <c r="K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2" i="2"/>
  <c r="J3" i="2"/>
  <c r="J4" i="2"/>
  <c r="M4" i="2" s="1"/>
  <c r="J5" i="2"/>
  <c r="M5" i="2" s="1"/>
  <c r="J6" i="2"/>
  <c r="M6" i="2" s="1"/>
  <c r="J7" i="2"/>
  <c r="M7" i="2" s="1"/>
  <c r="J8" i="2"/>
  <c r="M8" i="2" s="1"/>
  <c r="J9" i="2"/>
  <c r="M9" i="2" s="1"/>
  <c r="J10" i="2"/>
  <c r="J11" i="2"/>
  <c r="M11" i="2" s="1"/>
  <c r="J12" i="2"/>
  <c r="M12" i="2" s="1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J24" i="2"/>
  <c r="M24" i="2" s="1"/>
  <c r="J25" i="2"/>
  <c r="M25" i="2" s="1"/>
  <c r="J26" i="2"/>
  <c r="M26" i="2" s="1"/>
  <c r="J27" i="2"/>
  <c r="M27" i="2" s="1"/>
  <c r="J28" i="2"/>
  <c r="M28" i="2" s="1"/>
  <c r="J29" i="2"/>
  <c r="M29" i="2" s="1"/>
  <c r="J30" i="2"/>
  <c r="M30" i="2" s="1"/>
  <c r="J31" i="2"/>
  <c r="M31" i="2" s="1"/>
  <c r="J32" i="2"/>
  <c r="M32" i="2" s="1"/>
  <c r="J33" i="2"/>
  <c r="M33" i="2" s="1"/>
  <c r="J34" i="2"/>
  <c r="M34" i="2" s="1"/>
  <c r="J35" i="2"/>
  <c r="M35" i="2" s="1"/>
  <c r="J36" i="2"/>
  <c r="M36" i="2" s="1"/>
  <c r="J37" i="2"/>
  <c r="M37" i="2" s="1"/>
  <c r="J2" i="2"/>
  <c r="M2" i="2" s="1"/>
  <c r="M3" i="2" l="1"/>
  <c r="M10" i="2"/>
  <c r="M28" i="3"/>
  <c r="M11" i="3"/>
  <c r="M36" i="3"/>
  <c r="M32" i="3"/>
  <c r="M23" i="3"/>
  <c r="M27" i="3"/>
  <c r="M3" i="3"/>
  <c r="M19" i="3"/>
  <c r="M15" i="3"/>
  <c r="M35" i="3"/>
  <c r="M31" i="3"/>
  <c r="M24" i="3"/>
  <c r="M20" i="3"/>
  <c r="M16" i="3"/>
  <c r="M12" i="3"/>
  <c r="M8" i="3"/>
  <c r="M4" i="3"/>
  <c r="M37" i="3"/>
  <c r="M33" i="3"/>
  <c r="M29" i="3"/>
  <c r="M25" i="3"/>
  <c r="M21" i="3"/>
  <c r="M17" i="3"/>
  <c r="M13" i="3"/>
  <c r="M9" i="3"/>
  <c r="M5" i="3"/>
  <c r="M2" i="3"/>
  <c r="M34" i="3"/>
  <c r="M30" i="3"/>
  <c r="M26" i="3"/>
  <c r="M22" i="3"/>
  <c r="M18" i="3"/>
  <c r="M14" i="3"/>
  <c r="M10" i="3"/>
  <c r="M6" i="3"/>
</calcChain>
</file>

<file path=xl/sharedStrings.xml><?xml version="1.0" encoding="utf-8"?>
<sst xmlns="http://schemas.openxmlformats.org/spreadsheetml/2006/main" count="1173" uniqueCount="88">
  <si>
    <t>Date</t>
  </si>
  <si>
    <t>Collector 1</t>
  </si>
  <si>
    <t>Collector 2</t>
  </si>
  <si>
    <t>Sample Bottle ID</t>
  </si>
  <si>
    <t>Station (ft)</t>
  </si>
  <si>
    <t>Lat</t>
  </si>
  <si>
    <t>Long</t>
  </si>
  <si>
    <t>Depth (ft)</t>
  </si>
  <si>
    <t>Air T (oC)</t>
  </si>
  <si>
    <t>H20 T (oC)</t>
  </si>
  <si>
    <t>Darren Fong</t>
  </si>
  <si>
    <t>Emily Mejstrik</t>
  </si>
  <si>
    <t>Sample 1</t>
  </si>
  <si>
    <t>Cobble</t>
  </si>
  <si>
    <t>Sample 2</t>
  </si>
  <si>
    <t>Sample 3</t>
  </si>
  <si>
    <t>Location</t>
  </si>
  <si>
    <t xml:space="preserve">Sample 4 </t>
  </si>
  <si>
    <t>Sample 4</t>
  </si>
  <si>
    <t>Sample 5</t>
  </si>
  <si>
    <t>Sample 6</t>
  </si>
  <si>
    <t>Large Cobble</t>
  </si>
  <si>
    <t>Gravel</t>
  </si>
  <si>
    <t>Small Cobble</t>
  </si>
  <si>
    <t>Sample 7</t>
  </si>
  <si>
    <t>Sample 8</t>
  </si>
  <si>
    <t xml:space="preserve">Sample 8 </t>
  </si>
  <si>
    <t>Sample 9</t>
  </si>
  <si>
    <t>ND</t>
  </si>
  <si>
    <t>Redwood Crk Above Bridge 3.5</t>
  </si>
  <si>
    <t>Redwood Creek Below Fern Creek</t>
  </si>
  <si>
    <t>Redwood Creek Above Fern Creek</t>
  </si>
  <si>
    <t>Park Unit</t>
  </si>
  <si>
    <t>Muir Woods</t>
  </si>
  <si>
    <t>Voucher Vial ID</t>
  </si>
  <si>
    <t>Redwood Ck1</t>
  </si>
  <si>
    <t>Redwood Ck2</t>
  </si>
  <si>
    <t>Redwood Ck3</t>
  </si>
  <si>
    <t>Redwood Ck4</t>
  </si>
  <si>
    <t>Redwood Ck5</t>
  </si>
  <si>
    <t>Redwood Ck6</t>
  </si>
  <si>
    <t>Redwood Ck7</t>
  </si>
  <si>
    <t>Redwood Ck8</t>
  </si>
  <si>
    <t>Redwood Ck9</t>
  </si>
  <si>
    <t>Redwood Creek Above Bridge 3</t>
  </si>
  <si>
    <t>Velocity (ft/s)</t>
  </si>
  <si>
    <t>x</t>
  </si>
  <si>
    <t>y</t>
  </si>
  <si>
    <t>Comments</t>
  </si>
  <si>
    <t>on right bank margin; green flags- 2 photos</t>
  </si>
  <si>
    <t>iPhone photos of sample at 1220</t>
  </si>
  <si>
    <t>3 blue and 1 orange flags- 2 photos</t>
  </si>
  <si>
    <t>Left bank-shallow</t>
  </si>
  <si>
    <t>Right bank</t>
  </si>
  <si>
    <t>Light green flags- 2 photos looking upstream</t>
  </si>
  <si>
    <t>End time: 11:12; not much sand or organic matter</t>
  </si>
  <si>
    <t>Red flags- 2 photos. End time: 11:30</t>
  </si>
  <si>
    <t>Blue flags; end time: 11:55</t>
  </si>
  <si>
    <t>Lat Long</t>
  </si>
  <si>
    <t>Andrea Salazar</t>
  </si>
  <si>
    <t>Stationing</t>
  </si>
  <si>
    <t>-Station distances were from base maps derived from consultant's work for Carolyn Shoulders for MUWO Phase I restoration.  Zero for stationing is the concrete bridge at the downstream boundary of MUWO</t>
  </si>
  <si>
    <t>Deepak Dathatri</t>
  </si>
  <si>
    <t>Boulder%</t>
  </si>
  <si>
    <t>Cobble%</t>
  </si>
  <si>
    <t>Gravel%</t>
  </si>
  <si>
    <t>Sand+Clay</t>
  </si>
  <si>
    <t>MUWO</t>
  </si>
  <si>
    <t>Above Bridge 3</t>
  </si>
  <si>
    <t>0-25</t>
  </si>
  <si>
    <t>25-50</t>
  </si>
  <si>
    <t>50-75</t>
  </si>
  <si>
    <t>sand+silt</t>
  </si>
  <si>
    <t>Above Fern Creek</t>
  </si>
  <si>
    <t>float method</t>
  </si>
  <si>
    <t>float method, diatom slime</t>
  </si>
  <si>
    <t>%Embedded Substrate</t>
  </si>
  <si>
    <t>All small gravel</t>
  </si>
  <si>
    <t>large gravel</t>
  </si>
  <si>
    <t>Below Fern Creek</t>
  </si>
  <si>
    <t>Sand% (or smaller)</t>
  </si>
  <si>
    <t>organic%</t>
  </si>
  <si>
    <t>Highlighted gravel% assumed.  Only cobble% recorded in field notebook.  Check iphone photos to confirm just gravel presence</t>
  </si>
  <si>
    <t>Substrate Notes</t>
  </si>
  <si>
    <t>Embedded with fines.  Hard to stir bed. Rocks stuck</t>
  </si>
  <si>
    <t>Minor embeddedness.  See photos of different bed textures</t>
  </si>
  <si>
    <t>Sample ID</t>
  </si>
  <si>
    <t>Average Station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</si>
</sst>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"/>
    <numFmt numFmtId="165" formatCode="0.000000"/>
    <numFmt numFmtId="166" formatCode="0.000000000000"/>
    <numFmt numFmtId="167" formatCode="0.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0" xfId="0" applyFont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horizontal="left" wrapText="1"/>
    </xf>
    <xf numFmtId="165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left"/>
    </xf>
    <xf numFmtId="165" fontId="0" fillId="0" borderId="0" xfId="0" applyNumberFormat="1"/>
    <xf numFmtId="165" fontId="0" fillId="2" borderId="0" xfId="0" applyNumberFormat="1" applyFill="1" applyAlignment="1">
      <alignment horizontal="left"/>
    </xf>
    <xf numFmtId="14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2" borderId="0" xfId="0" applyNumberFormat="1" applyFill="1"/>
    <xf numFmtId="0" fontId="0" fillId="0" borderId="0" xfId="0" quotePrefix="1"/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left"/>
    </xf>
    <xf numFmtId="1" fontId="0" fillId="0" borderId="0" xfId="0" applyNumberFormat="1"/>
    <xf numFmtId="0" fontId="0" fillId="4" borderId="0" xfId="0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</xdr:row>
      <xdr:rowOff>161925</xdr:rowOff>
    </xdr:from>
    <xdr:to>
      <xdr:col>10</xdr:col>
      <xdr:colOff>257175</xdr:colOff>
      <xdr:row>33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2950" y="352425"/>
          <a:ext cx="5610225" cy="609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Methodology </a:t>
          </a:r>
        </a:p>
        <a:p>
          <a:endParaRPr lang="en-US" sz="1100"/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Three riffle or flatwater sites would be selected for benthic invertebrate sampling.  A control site around Sta 70+00 (about 340 ft above the start of the dewatered zone) would be selected.  Two treatment sites would be selected.  Treatment Site 1 would located where no channel disturbance is planned other than being affected by dewatering and being used as a transportation corridor.  This site would be between Sta 59+50 and 61+00. Treatment Site 2 would be located in a riprap burial zone just upstream of Treatment Site 1 (Sta 61+50 to 62+50).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each site, 4 successive Surber samples from riffle and flatwater habitats of similar character are collected.  The materials are placed in a plastic tray and homogenized.  A second container is inserted into the the tray to retain 1/4 of the materials which are transferred into labeled bottles.  Retained samples will be preserved in 95 percent ethanol in the field.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Surber samples would be collected near the thalweg to ensure that the most stable environment is sampled; if the thalweg is not defined, the center point of the wetted channel would be sampled. The Surber sampler (0.09 sq. m or 1 sq ft) will be placed flush with the substrate and gaps along the edges of the sampler plugged with rock.  Average water depth and a surficial ocular estimate of dominant substrate composition for each Surber sample were obtained.  A digital camera would be used to take photos of the substrate.  Substrates would be classified from photographs as fines (&lt;0.2 cm), gravels (0.2-6.4 cm), small cobble (6.4-12.8 cm), large cobble (12.8-25.6), boulder (&gt;25.6 cm), and bedrock (Overton et al. 1994).  Larger rocks within the sampler were hand-rubbed to detach attached organisms (particularly case caddisflies) and placed outside of the Surber sampler.  A hand trowel would be used to stir the substrate to the skirt depth.  We will standardize sampling intensity to 3 minutes. 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site would have 3 retained unsorted samples or replicates that would be preserved in individual plastic containers and labeled.  A total of 9 samples would be sent to an outside laboratory for sorting, processing, and identification. 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Temperature: Marathon digital thermometer</a:t>
          </a:r>
        </a:p>
        <a:p>
          <a:r>
            <a:rPr lang="en-US" sz="1100"/>
            <a:t>Stream velocity (@0.6 depth): Swoffer 2100 meter (2019, July9-13, 2021 sampling). Marsh-McBirney</a:t>
          </a:r>
          <a:r>
            <a:rPr lang="en-US" sz="1100" baseline="0"/>
            <a:t> 2000 Flo-Mate (2020, July16,2021 sampling)</a:t>
          </a:r>
          <a:endParaRPr lang="en-US" sz="1100"/>
        </a:p>
      </xdr:txBody>
    </xdr:sp>
    <xdr:clientData/>
  </xdr:twoCellAnchor>
  <xdr:twoCellAnchor>
    <xdr:from>
      <xdr:col>10</xdr:col>
      <xdr:colOff>495300</xdr:colOff>
      <xdr:row>2</xdr:row>
      <xdr:rowOff>142875</xdr:rowOff>
    </xdr:from>
    <xdr:to>
      <xdr:col>17</xdr:col>
      <xdr:colOff>304800</xdr:colOff>
      <xdr:row>14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591300" y="523875"/>
          <a:ext cx="4076700" cy="232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u="sng"/>
            <a:t>Museum Catalog Sample Coordinates</a:t>
          </a:r>
        </a:p>
        <a:p>
          <a:endParaRPr lang="en-US" sz="1100"/>
        </a:p>
        <a:p>
          <a:r>
            <a:rPr lang="en-US" sz="1100"/>
            <a:t>Because</a:t>
          </a:r>
          <a:r>
            <a:rPr lang="en-US" sz="1100" baseline="0"/>
            <a:t> samples from 4 discrete locations were obtained and combined into a composite, there are actually 4 map coordinates.  However, the collection record only allows for 1 location.  A coordinate that was in the 'middle' of the 4 sample locatios was selected.  The selected location was highlighted in yellow in the 2019 and 2020 spreadsheet tabs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592191</xdr:colOff>
      <xdr:row>40</xdr:row>
      <xdr:rowOff>64215</xdr:rowOff>
    </xdr:from>
    <xdr:to>
      <xdr:col>12</xdr:col>
      <xdr:colOff>449494</xdr:colOff>
      <xdr:row>43</xdr:row>
      <xdr:rowOff>164102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9F91D6-4FE1-A9A8-AF2D-FA16883BB5AC}"/>
            </a:ext>
          </a:extLst>
        </xdr:cNvPr>
        <xdr:cNvSpPr txBox="1"/>
      </xdr:nvSpPr>
      <xdr:spPr>
        <a:xfrm>
          <a:off x="7134831" y="7755563"/>
          <a:ext cx="3988371" cy="6564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Ben etal--&gt; I think we felt that the GPS was not as accurate as using the Station location and map to generate coordinates.  Still</a:t>
          </a:r>
          <a:r>
            <a:rPr lang="en-US" sz="1100" baseline="0"/>
            <a:t> need to do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18:L19"/>
  <sheetViews>
    <sheetView workbookViewId="0">
      <selection activeCell="G36" sqref="G36"/>
    </sheetView>
  </sheetViews>
  <sheetFormatPr defaultRowHeight="14.5" x14ac:dyDescent="0.35"/>
  <sheetData>
    <row r="18" spans="12:12" x14ac:dyDescent="0.35">
      <c r="L18" t="s">
        <v>60</v>
      </c>
    </row>
    <row r="19" spans="12:12" x14ac:dyDescent="0.35">
      <c r="L19" s="19" t="s">
        <v>61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38"/>
  <sheetViews>
    <sheetView zoomScale="90" zoomScaleNormal="90" workbookViewId="0">
      <pane ySplit="1" topLeftCell="A2" activePane="bottomLeft" state="frozen"/>
      <selection pane="bottomLeft" activeCell="P1" sqref="P1"/>
    </sheetView>
  </sheetViews>
  <sheetFormatPr defaultRowHeight="14.5" x14ac:dyDescent="0.35"/>
  <cols>
    <col min="1" max="1" width="10.453125" bestFit="1" customWidth="1"/>
    <col min="2" max="2" width="11.7265625" bestFit="1" customWidth="1"/>
    <col min="3" max="3" width="13.7265625" bestFit="1" customWidth="1"/>
    <col min="4" max="4" width="9.1796875" customWidth="1"/>
    <col min="5" max="5" width="9.7265625" customWidth="1"/>
    <col min="7" max="7" width="13.54296875" bestFit="1" customWidth="1"/>
    <col min="9" max="10" width="12.1796875" style="13" customWidth="1"/>
    <col min="11" max="12" width="13.26953125" style="13" customWidth="1"/>
    <col min="13" max="13" width="23.1796875" style="13" bestFit="1" customWidth="1"/>
    <col min="16" max="20" width="12.7265625" customWidth="1"/>
    <col min="21" max="21" width="12" bestFit="1" customWidth="1"/>
    <col min="22" max="22" width="31.453125" customWidth="1"/>
    <col min="24" max="24" width="10.26953125" customWidth="1"/>
    <col min="26" max="26" width="16.1796875" bestFit="1" customWidth="1"/>
    <col min="27" max="27" width="17.81640625" bestFit="1" customWidth="1"/>
  </cols>
  <sheetData>
    <row r="1" spans="1:27" s="1" customFormat="1" ht="29" x14ac:dyDescent="0.35">
      <c r="A1" s="3" t="s">
        <v>0</v>
      </c>
      <c r="B1" s="3" t="s">
        <v>1</v>
      </c>
      <c r="C1" s="3" t="s">
        <v>2</v>
      </c>
      <c r="D1" s="3" t="s">
        <v>8</v>
      </c>
      <c r="E1" s="3" t="s">
        <v>9</v>
      </c>
      <c r="F1" s="3" t="s">
        <v>3</v>
      </c>
      <c r="G1" s="3" t="s">
        <v>34</v>
      </c>
      <c r="H1" s="3" t="s">
        <v>4</v>
      </c>
      <c r="I1" s="10" t="s">
        <v>5</v>
      </c>
      <c r="J1" s="10"/>
      <c r="K1" s="10" t="s">
        <v>6</v>
      </c>
      <c r="L1" s="10"/>
      <c r="M1" s="10"/>
      <c r="N1" s="3" t="s">
        <v>7</v>
      </c>
      <c r="O1" s="3" t="s">
        <v>45</v>
      </c>
      <c r="P1" s="3" t="s">
        <v>83</v>
      </c>
      <c r="Q1" s="3" t="s">
        <v>63</v>
      </c>
      <c r="R1" s="3" t="s">
        <v>64</v>
      </c>
      <c r="S1" s="3" t="s">
        <v>65</v>
      </c>
      <c r="T1" s="3" t="s">
        <v>80</v>
      </c>
      <c r="U1" s="3" t="s">
        <v>32</v>
      </c>
      <c r="V1" s="9" t="s">
        <v>16</v>
      </c>
      <c r="W1" s="3" t="s">
        <v>48</v>
      </c>
    </row>
    <row r="2" spans="1:27" x14ac:dyDescent="0.35">
      <c r="A2" s="4">
        <v>43657</v>
      </c>
      <c r="B2" s="5" t="s">
        <v>10</v>
      </c>
      <c r="C2" s="5" t="s">
        <v>11</v>
      </c>
      <c r="D2" s="5">
        <v>18.2</v>
      </c>
      <c r="E2" s="5">
        <v>14.4</v>
      </c>
      <c r="F2" s="5" t="s">
        <v>12</v>
      </c>
      <c r="G2" s="5" t="s">
        <v>35</v>
      </c>
      <c r="H2" s="5">
        <v>5986</v>
      </c>
      <c r="I2" s="11">
        <v>37.900057804900001</v>
      </c>
      <c r="J2" s="11">
        <f>ROUND(I2,6)</f>
        <v>37.900058000000001</v>
      </c>
      <c r="K2" s="11">
        <v>-122.577582397</v>
      </c>
      <c r="L2" s="11">
        <f>ROUND(K2,6)</f>
        <v>-122.57758200000001</v>
      </c>
      <c r="M2" s="11" t="str">
        <f>CONCATENATE(J2,"/ ",L2)</f>
        <v>37.900058/ -122.577582</v>
      </c>
      <c r="N2" s="5">
        <v>0.25</v>
      </c>
      <c r="O2" s="5">
        <v>0.22</v>
      </c>
      <c r="P2" s="5" t="s">
        <v>13</v>
      </c>
      <c r="Q2" s="5"/>
      <c r="R2" s="5">
        <v>50</v>
      </c>
      <c r="S2" s="20">
        <v>50</v>
      </c>
      <c r="T2" s="5"/>
      <c r="U2" s="5" t="s">
        <v>33</v>
      </c>
      <c r="V2" t="s">
        <v>29</v>
      </c>
      <c r="W2" t="s">
        <v>82</v>
      </c>
    </row>
    <row r="3" spans="1:27" x14ac:dyDescent="0.35">
      <c r="A3" s="4">
        <v>43657</v>
      </c>
      <c r="B3" s="5" t="s">
        <v>10</v>
      </c>
      <c r="C3" s="5" t="s">
        <v>11</v>
      </c>
      <c r="D3" s="5">
        <v>18.2</v>
      </c>
      <c r="E3" s="5">
        <v>14.4</v>
      </c>
      <c r="F3" s="5" t="s">
        <v>12</v>
      </c>
      <c r="G3" s="5" t="s">
        <v>35</v>
      </c>
      <c r="H3" s="5">
        <v>5994</v>
      </c>
      <c r="I3" s="11">
        <v>37.900069914100001</v>
      </c>
      <c r="J3" s="11">
        <f t="shared" ref="J3:J37" si="0">ROUND(I3,6)</f>
        <v>37.900069999999999</v>
      </c>
      <c r="K3" s="11">
        <v>-122.57760454300001</v>
      </c>
      <c r="L3" s="11">
        <f t="shared" ref="L3:L37" si="1">ROUND(K3,6)</f>
        <v>-122.57760500000001</v>
      </c>
      <c r="M3" s="14" t="str">
        <f t="shared" ref="M3:M37" si="2">CONCATENATE(J3,"/ ",L3)</f>
        <v>37.90007/ -122.577605</v>
      </c>
      <c r="N3" s="5">
        <v>0.25</v>
      </c>
      <c r="O3" s="5">
        <v>1.03</v>
      </c>
      <c r="P3" s="5" t="s">
        <v>13</v>
      </c>
      <c r="Q3" s="5"/>
      <c r="R3" s="5">
        <v>50</v>
      </c>
      <c r="S3" s="20">
        <v>50</v>
      </c>
      <c r="T3" s="5"/>
      <c r="U3" s="5" t="s">
        <v>33</v>
      </c>
      <c r="V3" t="s">
        <v>29</v>
      </c>
      <c r="W3" t="s">
        <v>82</v>
      </c>
      <c r="Z3" s="6"/>
      <c r="AA3" s="6"/>
    </row>
    <row r="4" spans="1:27" x14ac:dyDescent="0.35">
      <c r="A4" s="4">
        <v>43657</v>
      </c>
      <c r="B4" s="5" t="s">
        <v>10</v>
      </c>
      <c r="C4" s="5" t="s">
        <v>11</v>
      </c>
      <c r="D4" s="5">
        <v>18.2</v>
      </c>
      <c r="E4" s="5">
        <v>14.4</v>
      </c>
      <c r="F4" s="5" t="s">
        <v>12</v>
      </c>
      <c r="G4" s="5" t="s">
        <v>35</v>
      </c>
      <c r="H4" s="5">
        <v>5999</v>
      </c>
      <c r="I4" s="11">
        <v>37.900076587599997</v>
      </c>
      <c r="J4" s="11">
        <f t="shared" si="0"/>
        <v>37.900077000000003</v>
      </c>
      <c r="K4" s="11">
        <v>-122.577621037</v>
      </c>
      <c r="L4" s="11">
        <f t="shared" si="1"/>
        <v>-122.57762099999999</v>
      </c>
      <c r="M4" s="11" t="str">
        <f t="shared" si="2"/>
        <v>37.900077/ -122.577621</v>
      </c>
      <c r="N4" s="5">
        <v>0.55000000000000004</v>
      </c>
      <c r="O4" s="5">
        <v>0.28000000000000003</v>
      </c>
      <c r="P4" s="5" t="s">
        <v>13</v>
      </c>
      <c r="Q4" s="5"/>
      <c r="R4" s="5">
        <v>20</v>
      </c>
      <c r="S4" s="20">
        <v>20</v>
      </c>
      <c r="T4" s="5"/>
      <c r="U4" s="5" t="s">
        <v>33</v>
      </c>
      <c r="V4" t="s">
        <v>29</v>
      </c>
      <c r="W4" t="s">
        <v>82</v>
      </c>
      <c r="Z4" s="6"/>
      <c r="AA4" s="6"/>
    </row>
    <row r="5" spans="1:27" x14ac:dyDescent="0.35">
      <c r="A5" s="4">
        <v>43657</v>
      </c>
      <c r="B5" s="5" t="s">
        <v>10</v>
      </c>
      <c r="C5" s="5" t="s">
        <v>11</v>
      </c>
      <c r="D5" s="5">
        <v>18.2</v>
      </c>
      <c r="E5" s="5">
        <v>14.4</v>
      </c>
      <c r="F5" s="5" t="s">
        <v>12</v>
      </c>
      <c r="G5" s="5" t="s">
        <v>35</v>
      </c>
      <c r="H5" s="5">
        <v>5998</v>
      </c>
      <c r="I5" s="11">
        <v>37.9000755828</v>
      </c>
      <c r="J5" s="11">
        <f t="shared" si="0"/>
        <v>37.900075999999999</v>
      </c>
      <c r="K5" s="11">
        <v>-122.577618554</v>
      </c>
      <c r="L5" s="11">
        <f t="shared" si="1"/>
        <v>-122.577619</v>
      </c>
      <c r="M5" s="11" t="str">
        <f t="shared" si="2"/>
        <v>37.900076/ -122.577619</v>
      </c>
      <c r="N5" s="5">
        <v>0.5</v>
      </c>
      <c r="O5" s="5">
        <v>0.44</v>
      </c>
      <c r="P5" s="5" t="s">
        <v>13</v>
      </c>
      <c r="Q5" s="5"/>
      <c r="R5" s="5">
        <v>50</v>
      </c>
      <c r="S5" s="20">
        <v>50</v>
      </c>
      <c r="T5" s="5"/>
      <c r="U5" s="5" t="s">
        <v>33</v>
      </c>
      <c r="V5" t="s">
        <v>29</v>
      </c>
      <c r="W5" t="s">
        <v>82</v>
      </c>
      <c r="Z5" s="6"/>
      <c r="AA5" s="6"/>
    </row>
    <row r="6" spans="1:27" x14ac:dyDescent="0.35">
      <c r="A6" s="4">
        <v>43657</v>
      </c>
      <c r="B6" s="5" t="s">
        <v>10</v>
      </c>
      <c r="C6" s="5" t="s">
        <v>11</v>
      </c>
      <c r="D6" s="5">
        <v>18.2</v>
      </c>
      <c r="E6" s="5">
        <v>14.4</v>
      </c>
      <c r="F6" s="5" t="s">
        <v>14</v>
      </c>
      <c r="G6" s="5" t="s">
        <v>36</v>
      </c>
      <c r="H6" s="5">
        <v>6030</v>
      </c>
      <c r="I6" s="11">
        <v>37.900117944800002</v>
      </c>
      <c r="J6" s="11">
        <f t="shared" si="0"/>
        <v>37.900117999999999</v>
      </c>
      <c r="K6" s="11">
        <v>-122.57771354400001</v>
      </c>
      <c r="L6" s="11">
        <f t="shared" si="1"/>
        <v>-122.577714</v>
      </c>
      <c r="M6" s="11" t="str">
        <f t="shared" si="2"/>
        <v>37.900118/ -122.577714</v>
      </c>
      <c r="N6" s="5">
        <v>0.25</v>
      </c>
      <c r="O6" s="5">
        <v>0.26</v>
      </c>
      <c r="P6" s="5" t="s">
        <v>13</v>
      </c>
      <c r="Q6" s="5"/>
      <c r="R6" s="5">
        <v>50</v>
      </c>
      <c r="S6" s="20">
        <v>50</v>
      </c>
      <c r="T6" s="5"/>
      <c r="U6" s="5" t="s">
        <v>33</v>
      </c>
      <c r="V6" t="s">
        <v>29</v>
      </c>
      <c r="W6" t="s">
        <v>82</v>
      </c>
      <c r="Z6" s="6"/>
      <c r="AA6" s="6"/>
    </row>
    <row r="7" spans="1:27" x14ac:dyDescent="0.35">
      <c r="A7" s="4">
        <v>43657</v>
      </c>
      <c r="B7" s="5" t="s">
        <v>10</v>
      </c>
      <c r="C7" s="5" t="s">
        <v>11</v>
      </c>
      <c r="D7" s="5">
        <v>18.2</v>
      </c>
      <c r="E7" s="5">
        <v>14.4</v>
      </c>
      <c r="F7" s="5" t="s">
        <v>14</v>
      </c>
      <c r="G7" s="5" t="s">
        <v>36</v>
      </c>
      <c r="H7" s="5">
        <v>6032</v>
      </c>
      <c r="I7" s="11">
        <v>37.900120899400001</v>
      </c>
      <c r="J7" s="11">
        <f t="shared" si="0"/>
        <v>37.900120999999999</v>
      </c>
      <c r="K7" s="11">
        <v>-122.577718674</v>
      </c>
      <c r="L7" s="11">
        <f t="shared" si="1"/>
        <v>-122.577719</v>
      </c>
      <c r="M7" s="14" t="str">
        <f t="shared" si="2"/>
        <v>37.900121/ -122.577719</v>
      </c>
      <c r="N7" s="5">
        <v>0.5</v>
      </c>
      <c r="O7" s="5">
        <v>0.56999999999999995</v>
      </c>
      <c r="P7" s="5" t="s">
        <v>13</v>
      </c>
      <c r="Q7" s="5"/>
      <c r="R7" s="5">
        <v>50</v>
      </c>
      <c r="S7" s="20">
        <v>50</v>
      </c>
      <c r="T7" s="5"/>
      <c r="U7" s="5" t="s">
        <v>33</v>
      </c>
      <c r="V7" t="s">
        <v>29</v>
      </c>
      <c r="W7" t="s">
        <v>82</v>
      </c>
      <c r="Z7" s="6"/>
      <c r="AA7" s="6"/>
    </row>
    <row r="8" spans="1:27" x14ac:dyDescent="0.35">
      <c r="A8" s="4">
        <v>43657</v>
      </c>
      <c r="B8" s="5" t="s">
        <v>10</v>
      </c>
      <c r="C8" s="5" t="s">
        <v>11</v>
      </c>
      <c r="D8" s="5">
        <v>18.2</v>
      </c>
      <c r="E8" s="5">
        <v>14.4</v>
      </c>
      <c r="F8" s="5" t="s">
        <v>14</v>
      </c>
      <c r="G8" s="5" t="s">
        <v>36</v>
      </c>
      <c r="H8" s="5">
        <v>6033</v>
      </c>
      <c r="I8" s="11">
        <v>37.900122141499999</v>
      </c>
      <c r="J8" s="11">
        <f t="shared" si="0"/>
        <v>37.900122000000003</v>
      </c>
      <c r="K8" s="11">
        <v>-122.57772083</v>
      </c>
      <c r="L8" s="11">
        <f t="shared" si="1"/>
        <v>-122.577721</v>
      </c>
      <c r="M8" s="11" t="str">
        <f t="shared" si="2"/>
        <v>37.900122/ -122.577721</v>
      </c>
      <c r="N8" s="5">
        <v>0.3</v>
      </c>
      <c r="O8" s="5">
        <v>1.58</v>
      </c>
      <c r="P8" s="5" t="s">
        <v>13</v>
      </c>
      <c r="Q8" s="5"/>
      <c r="R8" s="5">
        <v>50</v>
      </c>
      <c r="S8" s="20">
        <v>50</v>
      </c>
      <c r="T8" s="5"/>
      <c r="U8" s="5" t="s">
        <v>33</v>
      </c>
      <c r="V8" t="s">
        <v>29</v>
      </c>
      <c r="W8" t="s">
        <v>82</v>
      </c>
      <c r="Z8" s="6"/>
      <c r="AA8" s="6"/>
    </row>
    <row r="9" spans="1:27" x14ac:dyDescent="0.35">
      <c r="A9" s="4">
        <v>43657</v>
      </c>
      <c r="B9" s="5" t="s">
        <v>10</v>
      </c>
      <c r="C9" s="5" t="s">
        <v>11</v>
      </c>
      <c r="D9" s="5">
        <v>18.2</v>
      </c>
      <c r="E9" s="5">
        <v>14.4</v>
      </c>
      <c r="F9" s="5" t="s">
        <v>14</v>
      </c>
      <c r="G9" s="5" t="s">
        <v>36</v>
      </c>
      <c r="H9" s="5">
        <v>6036</v>
      </c>
      <c r="I9" s="11">
        <v>37.900127459899998</v>
      </c>
      <c r="J9" s="11">
        <f t="shared" si="0"/>
        <v>37.900126999999998</v>
      </c>
      <c r="K9" s="11">
        <v>-122.57773006399999</v>
      </c>
      <c r="L9" s="11">
        <f t="shared" si="1"/>
        <v>-122.57773</v>
      </c>
      <c r="M9" s="11" t="str">
        <f t="shared" si="2"/>
        <v>37.900127/ -122.57773</v>
      </c>
      <c r="N9" s="5">
        <v>0.28000000000000003</v>
      </c>
      <c r="O9" s="5">
        <v>0.33</v>
      </c>
      <c r="P9" s="5" t="s">
        <v>13</v>
      </c>
      <c r="Q9" s="5"/>
      <c r="R9" s="5">
        <v>50</v>
      </c>
      <c r="S9" s="20">
        <v>50</v>
      </c>
      <c r="T9" s="5"/>
      <c r="U9" s="5" t="s">
        <v>33</v>
      </c>
      <c r="V9" t="s">
        <v>29</v>
      </c>
      <c r="W9" t="s">
        <v>82</v>
      </c>
      <c r="Z9" s="6"/>
      <c r="AA9" s="6"/>
    </row>
    <row r="10" spans="1:27" x14ac:dyDescent="0.35">
      <c r="A10" s="4">
        <v>43657</v>
      </c>
      <c r="B10" s="5" t="s">
        <v>10</v>
      </c>
      <c r="C10" s="5" t="s">
        <v>11</v>
      </c>
      <c r="D10" s="5">
        <v>18.2</v>
      </c>
      <c r="E10" s="5">
        <v>14.4</v>
      </c>
      <c r="F10" s="5" t="s">
        <v>15</v>
      </c>
      <c r="G10" s="5" t="s">
        <v>37</v>
      </c>
      <c r="H10" s="5">
        <v>6042</v>
      </c>
      <c r="I10" s="11">
        <v>37.900136221399997</v>
      </c>
      <c r="J10" s="11">
        <f t="shared" si="0"/>
        <v>37.900136000000003</v>
      </c>
      <c r="K10" s="11">
        <v>-122.577745275</v>
      </c>
      <c r="L10" s="11">
        <f t="shared" si="1"/>
        <v>-122.57774499999999</v>
      </c>
      <c r="M10" s="11" t="str">
        <f t="shared" si="2"/>
        <v>37.900136/ -122.577745</v>
      </c>
      <c r="N10" s="5">
        <v>0.25</v>
      </c>
      <c r="O10" s="5">
        <v>0.46</v>
      </c>
      <c r="P10" s="5" t="s">
        <v>13</v>
      </c>
      <c r="Q10" s="5"/>
      <c r="R10" s="5">
        <v>50</v>
      </c>
      <c r="S10" s="20">
        <v>50</v>
      </c>
      <c r="T10" s="5"/>
      <c r="U10" s="5" t="s">
        <v>33</v>
      </c>
      <c r="V10" t="s">
        <v>29</v>
      </c>
      <c r="W10" t="s">
        <v>82</v>
      </c>
      <c r="Z10" s="6"/>
      <c r="AA10" s="6"/>
    </row>
    <row r="11" spans="1:27" x14ac:dyDescent="0.35">
      <c r="A11" s="4">
        <v>43657</v>
      </c>
      <c r="B11" s="5" t="s">
        <v>10</v>
      </c>
      <c r="C11" s="5" t="s">
        <v>11</v>
      </c>
      <c r="D11" s="5">
        <v>18.2</v>
      </c>
      <c r="E11" s="5">
        <v>14.4</v>
      </c>
      <c r="F11" s="5" t="s">
        <v>15</v>
      </c>
      <c r="G11" s="5" t="s">
        <v>37</v>
      </c>
      <c r="H11" s="5">
        <v>6045</v>
      </c>
      <c r="I11" s="11">
        <v>37.900142126299997</v>
      </c>
      <c r="J11" s="11">
        <f t="shared" si="0"/>
        <v>37.900142000000002</v>
      </c>
      <c r="K11" s="11">
        <v>-122.577755526</v>
      </c>
      <c r="L11" s="11">
        <f t="shared" si="1"/>
        <v>-122.57775599999999</v>
      </c>
      <c r="M11" s="14" t="str">
        <f t="shared" si="2"/>
        <v>37.900142/ -122.577756</v>
      </c>
      <c r="N11" s="5">
        <v>0.3</v>
      </c>
      <c r="O11" s="5">
        <v>0.75</v>
      </c>
      <c r="P11" s="5" t="s">
        <v>13</v>
      </c>
      <c r="Q11" s="5"/>
      <c r="R11" s="5">
        <v>50</v>
      </c>
      <c r="S11" s="20">
        <v>50</v>
      </c>
      <c r="T11" s="5"/>
      <c r="U11" s="5" t="s">
        <v>33</v>
      </c>
      <c r="V11" t="s">
        <v>29</v>
      </c>
      <c r="W11" t="s">
        <v>82</v>
      </c>
      <c r="Z11" s="6"/>
      <c r="AA11" s="6"/>
    </row>
    <row r="12" spans="1:27" x14ac:dyDescent="0.35">
      <c r="A12" s="4">
        <v>43657</v>
      </c>
      <c r="B12" s="5" t="s">
        <v>10</v>
      </c>
      <c r="C12" s="5" t="s">
        <v>11</v>
      </c>
      <c r="D12" s="5">
        <v>18.2</v>
      </c>
      <c r="E12" s="5">
        <v>14.4</v>
      </c>
      <c r="F12" s="5" t="s">
        <v>15</v>
      </c>
      <c r="G12" s="5" t="s">
        <v>37</v>
      </c>
      <c r="H12" s="5">
        <v>6050</v>
      </c>
      <c r="I12" s="11">
        <v>37.900150049600001</v>
      </c>
      <c r="J12" s="11">
        <f t="shared" si="0"/>
        <v>37.900149999999996</v>
      </c>
      <c r="K12" s="11">
        <v>-122.577770026</v>
      </c>
      <c r="L12" s="11">
        <f t="shared" si="1"/>
        <v>-122.57777</v>
      </c>
      <c r="M12" s="11" t="str">
        <f t="shared" si="2"/>
        <v>37.90015/ -122.57777</v>
      </c>
      <c r="N12" s="5">
        <v>0.2</v>
      </c>
      <c r="O12" s="5">
        <v>0.35</v>
      </c>
      <c r="P12" s="5" t="s">
        <v>13</v>
      </c>
      <c r="Q12" s="5"/>
      <c r="R12" s="5">
        <v>50</v>
      </c>
      <c r="S12" s="20">
        <v>50</v>
      </c>
      <c r="T12" s="5"/>
      <c r="U12" s="5" t="s">
        <v>33</v>
      </c>
      <c r="V12" t="s">
        <v>29</v>
      </c>
      <c r="W12" t="s">
        <v>82</v>
      </c>
      <c r="Z12" s="6"/>
      <c r="AA12" s="6"/>
    </row>
    <row r="13" spans="1:27" s="2" customFormat="1" x14ac:dyDescent="0.35">
      <c r="A13" s="7">
        <v>43657</v>
      </c>
      <c r="B13" s="8" t="s">
        <v>10</v>
      </c>
      <c r="C13" s="8" t="s">
        <v>11</v>
      </c>
      <c r="D13" s="8">
        <v>18.2</v>
      </c>
      <c r="E13" s="8">
        <v>14.4</v>
      </c>
      <c r="F13" s="8" t="s">
        <v>15</v>
      </c>
      <c r="G13" s="5" t="s">
        <v>37</v>
      </c>
      <c r="H13" s="8">
        <v>6050.5</v>
      </c>
      <c r="I13" s="12">
        <v>37.900150975999999</v>
      </c>
      <c r="J13" s="11">
        <f t="shared" si="0"/>
        <v>37.900151000000001</v>
      </c>
      <c r="K13" s="12">
        <v>-122.57777196000001</v>
      </c>
      <c r="L13" s="11">
        <f t="shared" si="1"/>
        <v>-122.577772</v>
      </c>
      <c r="M13" s="11" t="str">
        <f t="shared" si="2"/>
        <v>37.900151/ -122.577772</v>
      </c>
      <c r="N13" s="8">
        <v>0.55000000000000004</v>
      </c>
      <c r="O13" s="8">
        <v>0.44</v>
      </c>
      <c r="P13" s="8" t="s">
        <v>13</v>
      </c>
      <c r="Q13" s="8"/>
      <c r="R13" s="8">
        <v>50</v>
      </c>
      <c r="S13" s="21">
        <v>50</v>
      </c>
      <c r="T13" s="8"/>
      <c r="U13" s="5" t="s">
        <v>33</v>
      </c>
      <c r="V13" t="s">
        <v>29</v>
      </c>
      <c r="W13" t="s">
        <v>82</v>
      </c>
      <c r="Z13" s="6"/>
      <c r="AA13" s="6"/>
    </row>
    <row r="14" spans="1:27" x14ac:dyDescent="0.35">
      <c r="A14" s="4">
        <v>43658</v>
      </c>
      <c r="B14" s="5" t="s">
        <v>10</v>
      </c>
      <c r="C14" s="5" t="s">
        <v>11</v>
      </c>
      <c r="D14" s="5">
        <v>16.100000000000001</v>
      </c>
      <c r="E14" s="5">
        <v>13.6</v>
      </c>
      <c r="F14" s="5" t="s">
        <v>17</v>
      </c>
      <c r="G14" s="5" t="s">
        <v>38</v>
      </c>
      <c r="H14" s="5">
        <v>6170</v>
      </c>
      <c r="I14" s="11">
        <v>37.900349048300001</v>
      </c>
      <c r="J14" s="11">
        <f t="shared" si="0"/>
        <v>37.900348999999999</v>
      </c>
      <c r="K14" s="11">
        <v>-122.578098922</v>
      </c>
      <c r="L14" s="11">
        <f t="shared" si="1"/>
        <v>-122.57809899999999</v>
      </c>
      <c r="M14" s="11" t="str">
        <f t="shared" si="2"/>
        <v>37.900349/ -122.578099</v>
      </c>
      <c r="N14" s="5">
        <v>0.35</v>
      </c>
      <c r="O14" s="5">
        <v>0.12</v>
      </c>
      <c r="P14" s="5" t="s">
        <v>21</v>
      </c>
      <c r="Q14" s="5"/>
      <c r="R14" s="5">
        <v>75</v>
      </c>
      <c r="S14" s="20">
        <v>25</v>
      </c>
      <c r="T14" s="5"/>
      <c r="U14" s="5" t="s">
        <v>33</v>
      </c>
      <c r="V14" t="s">
        <v>30</v>
      </c>
      <c r="W14" t="s">
        <v>82</v>
      </c>
      <c r="Z14" s="6"/>
      <c r="AA14" s="6"/>
    </row>
    <row r="15" spans="1:27" x14ac:dyDescent="0.35">
      <c r="A15" s="4">
        <v>43658</v>
      </c>
      <c r="B15" s="5" t="s">
        <v>10</v>
      </c>
      <c r="C15" s="5" t="s">
        <v>11</v>
      </c>
      <c r="D15" s="5">
        <v>16.100000000000001</v>
      </c>
      <c r="E15" s="5">
        <v>13.6</v>
      </c>
      <c r="F15" s="5" t="s">
        <v>17</v>
      </c>
      <c r="G15" s="5" t="s">
        <v>38</v>
      </c>
      <c r="H15" s="5">
        <v>6179.5</v>
      </c>
      <c r="I15" s="11">
        <v>37.900365500200003</v>
      </c>
      <c r="J15" s="11">
        <f t="shared" si="0"/>
        <v>37.900365999999998</v>
      </c>
      <c r="K15" s="11">
        <v>-122.57812428699999</v>
      </c>
      <c r="L15" s="11">
        <f t="shared" si="1"/>
        <v>-122.578124</v>
      </c>
      <c r="M15" s="14" t="str">
        <f t="shared" si="2"/>
        <v>37.900366/ -122.578124</v>
      </c>
      <c r="N15" s="5">
        <v>0.3</v>
      </c>
      <c r="O15" s="5">
        <v>0.25</v>
      </c>
      <c r="P15" s="5" t="s">
        <v>21</v>
      </c>
      <c r="Q15" s="5"/>
      <c r="R15" s="5">
        <v>75</v>
      </c>
      <c r="S15" s="20">
        <v>25</v>
      </c>
      <c r="T15" s="5"/>
      <c r="U15" s="5" t="s">
        <v>33</v>
      </c>
      <c r="V15" t="s">
        <v>30</v>
      </c>
      <c r="W15" t="s">
        <v>82</v>
      </c>
      <c r="Z15" s="6"/>
      <c r="AA15" s="6"/>
    </row>
    <row r="16" spans="1:27" x14ac:dyDescent="0.35">
      <c r="A16" s="4">
        <v>43658</v>
      </c>
      <c r="B16" s="5" t="s">
        <v>10</v>
      </c>
      <c r="C16" s="5" t="s">
        <v>11</v>
      </c>
      <c r="D16" s="5">
        <v>16.100000000000001</v>
      </c>
      <c r="E16" s="5">
        <v>13.6</v>
      </c>
      <c r="F16" s="5" t="s">
        <v>18</v>
      </c>
      <c r="G16" s="5" t="s">
        <v>38</v>
      </c>
      <c r="H16" s="5">
        <v>6181</v>
      </c>
      <c r="I16" s="11">
        <v>37.900368641699998</v>
      </c>
      <c r="J16" s="11">
        <f t="shared" si="0"/>
        <v>37.900368999999998</v>
      </c>
      <c r="K16" s="11">
        <v>-122.57812912999999</v>
      </c>
      <c r="L16" s="11">
        <f t="shared" si="1"/>
        <v>-122.578129</v>
      </c>
      <c r="M16" s="11" t="str">
        <f t="shared" si="2"/>
        <v>37.900369/ -122.578129</v>
      </c>
      <c r="N16" s="5">
        <v>0.25</v>
      </c>
      <c r="O16" s="5">
        <v>0.09</v>
      </c>
      <c r="P16" s="5" t="s">
        <v>21</v>
      </c>
      <c r="Q16" s="5"/>
      <c r="R16" s="5">
        <v>50</v>
      </c>
      <c r="S16" s="20">
        <v>50</v>
      </c>
      <c r="T16" s="5"/>
      <c r="U16" s="5" t="s">
        <v>33</v>
      </c>
      <c r="V16" t="s">
        <v>30</v>
      </c>
      <c r="W16" t="s">
        <v>82</v>
      </c>
      <c r="Z16" s="6"/>
      <c r="AA16" s="6"/>
    </row>
    <row r="17" spans="1:27" x14ac:dyDescent="0.35">
      <c r="A17" s="4">
        <v>43658</v>
      </c>
      <c r="B17" s="5" t="s">
        <v>10</v>
      </c>
      <c r="C17" s="5" t="s">
        <v>11</v>
      </c>
      <c r="D17" s="5">
        <v>16.100000000000001</v>
      </c>
      <c r="E17" s="5">
        <v>13.6</v>
      </c>
      <c r="F17" s="5" t="s">
        <v>18</v>
      </c>
      <c r="G17" s="5" t="s">
        <v>38</v>
      </c>
      <c r="H17" s="5">
        <v>6185</v>
      </c>
      <c r="I17" s="11">
        <v>37.900375084300002</v>
      </c>
      <c r="J17" s="11">
        <f t="shared" si="0"/>
        <v>37.900374999999997</v>
      </c>
      <c r="K17" s="11">
        <v>-122.57813906299999</v>
      </c>
      <c r="L17" s="11">
        <f t="shared" si="1"/>
        <v>-122.57813899999999</v>
      </c>
      <c r="M17" s="11" t="str">
        <f t="shared" si="2"/>
        <v>37.900375/ -122.578139</v>
      </c>
      <c r="N17" s="5">
        <v>0.35</v>
      </c>
      <c r="O17" s="5">
        <v>0.47</v>
      </c>
      <c r="P17" s="5" t="s">
        <v>21</v>
      </c>
      <c r="Q17" s="5"/>
      <c r="R17" s="5">
        <v>40</v>
      </c>
      <c r="S17" s="20">
        <v>60</v>
      </c>
      <c r="T17" s="5"/>
      <c r="U17" s="5" t="s">
        <v>33</v>
      </c>
      <c r="V17" t="s">
        <v>30</v>
      </c>
      <c r="W17" t="s">
        <v>82</v>
      </c>
      <c r="Z17" s="6"/>
      <c r="AA17" s="6"/>
    </row>
    <row r="18" spans="1:27" x14ac:dyDescent="0.35">
      <c r="A18" s="4">
        <v>43658</v>
      </c>
      <c r="B18" s="5" t="s">
        <v>10</v>
      </c>
      <c r="C18" s="5" t="s">
        <v>11</v>
      </c>
      <c r="D18" s="5">
        <v>16.100000000000001</v>
      </c>
      <c r="E18" s="5">
        <v>13.6</v>
      </c>
      <c r="F18" s="5" t="s">
        <v>19</v>
      </c>
      <c r="G18" s="5" t="s">
        <v>39</v>
      </c>
      <c r="H18" s="5">
        <v>6188</v>
      </c>
      <c r="I18" s="11">
        <v>37.9003817193</v>
      </c>
      <c r="J18" s="11">
        <f t="shared" si="0"/>
        <v>37.900382</v>
      </c>
      <c r="K18" s="11">
        <v>-122.57814929200001</v>
      </c>
      <c r="L18" s="11">
        <f t="shared" si="1"/>
        <v>-122.578149</v>
      </c>
      <c r="M18" s="11" t="str">
        <f t="shared" si="2"/>
        <v>37.900382/ -122.578149</v>
      </c>
      <c r="N18" s="5">
        <v>0.35</v>
      </c>
      <c r="O18" s="5">
        <v>0.65</v>
      </c>
      <c r="P18" s="5" t="s">
        <v>22</v>
      </c>
      <c r="Q18" s="5"/>
      <c r="R18" s="5">
        <v>40</v>
      </c>
      <c r="S18" s="5">
        <v>60</v>
      </c>
      <c r="T18" s="5"/>
      <c r="U18" s="5" t="s">
        <v>33</v>
      </c>
      <c r="V18" t="s">
        <v>30</v>
      </c>
      <c r="Z18" s="6"/>
      <c r="AA18" s="6"/>
    </row>
    <row r="19" spans="1:27" x14ac:dyDescent="0.35">
      <c r="A19" s="4">
        <v>43658</v>
      </c>
      <c r="B19" s="5" t="s">
        <v>10</v>
      </c>
      <c r="C19" s="5" t="s">
        <v>11</v>
      </c>
      <c r="D19" s="5">
        <v>16.100000000000001</v>
      </c>
      <c r="E19" s="5">
        <v>13.6</v>
      </c>
      <c r="F19" s="5" t="s">
        <v>19</v>
      </c>
      <c r="G19" s="5" t="s">
        <v>39</v>
      </c>
      <c r="H19" s="5">
        <v>6190</v>
      </c>
      <c r="I19" s="11">
        <v>37.9003837988</v>
      </c>
      <c r="J19" s="11">
        <f t="shared" si="0"/>
        <v>37.900384000000003</v>
      </c>
      <c r="K19" s="11">
        <v>-122.57815249799999</v>
      </c>
      <c r="L19" s="11">
        <f t="shared" si="1"/>
        <v>-122.578152</v>
      </c>
      <c r="M19" s="14" t="str">
        <f t="shared" si="2"/>
        <v>37.900384/ -122.578152</v>
      </c>
      <c r="N19" s="5">
        <v>0.25</v>
      </c>
      <c r="O19" s="5">
        <v>0.95</v>
      </c>
      <c r="P19" s="5" t="s">
        <v>23</v>
      </c>
      <c r="Q19" s="5"/>
      <c r="R19" s="5">
        <v>50</v>
      </c>
      <c r="S19" s="5">
        <v>50</v>
      </c>
      <c r="T19" s="5"/>
      <c r="U19" s="5" t="s">
        <v>33</v>
      </c>
      <c r="V19" t="s">
        <v>30</v>
      </c>
      <c r="Z19" s="6"/>
      <c r="AA19" s="6"/>
    </row>
    <row r="20" spans="1:27" x14ac:dyDescent="0.35">
      <c r="A20" s="4">
        <v>43658</v>
      </c>
      <c r="B20" s="5" t="s">
        <v>10</v>
      </c>
      <c r="C20" s="5" t="s">
        <v>11</v>
      </c>
      <c r="D20" s="5">
        <v>16.100000000000001</v>
      </c>
      <c r="E20" s="5">
        <v>13.6</v>
      </c>
      <c r="F20" s="5" t="s">
        <v>19</v>
      </c>
      <c r="G20" s="5" t="s">
        <v>39</v>
      </c>
      <c r="H20" s="5">
        <v>6192</v>
      </c>
      <c r="I20" s="11">
        <v>37.900386347800001</v>
      </c>
      <c r="J20" s="11">
        <f t="shared" si="0"/>
        <v>37.900385999999997</v>
      </c>
      <c r="K20" s="11">
        <v>-122.578156428</v>
      </c>
      <c r="L20" s="11">
        <f t="shared" si="1"/>
        <v>-122.57815600000001</v>
      </c>
      <c r="M20" s="11" t="str">
        <f t="shared" si="2"/>
        <v>37.900386/ -122.578156</v>
      </c>
      <c r="N20" s="5">
        <v>0.2</v>
      </c>
      <c r="O20" s="5">
        <v>0.62</v>
      </c>
      <c r="P20" s="5" t="s">
        <v>23</v>
      </c>
      <c r="Q20" s="5"/>
      <c r="R20" s="5">
        <v>50</v>
      </c>
      <c r="S20" s="5">
        <v>50</v>
      </c>
      <c r="T20" s="5"/>
      <c r="U20" s="5" t="s">
        <v>33</v>
      </c>
      <c r="V20" t="s">
        <v>30</v>
      </c>
      <c r="Z20" s="6"/>
      <c r="AA20" s="6"/>
    </row>
    <row r="21" spans="1:27" x14ac:dyDescent="0.35">
      <c r="A21" s="4">
        <v>43658</v>
      </c>
      <c r="B21" s="5" t="s">
        <v>10</v>
      </c>
      <c r="C21" s="5" t="s">
        <v>11</v>
      </c>
      <c r="D21" s="5">
        <v>16.100000000000001</v>
      </c>
      <c r="E21" s="5">
        <v>13.6</v>
      </c>
      <c r="F21" s="5" t="s">
        <v>19</v>
      </c>
      <c r="G21" s="5" t="s">
        <v>39</v>
      </c>
      <c r="H21" s="5">
        <v>6194</v>
      </c>
      <c r="I21" s="11">
        <v>37.900391157199998</v>
      </c>
      <c r="J21" s="11">
        <f t="shared" si="0"/>
        <v>37.900390999999999</v>
      </c>
      <c r="K21" s="11">
        <v>-122.578163843</v>
      </c>
      <c r="L21" s="11">
        <f t="shared" si="1"/>
        <v>-122.578164</v>
      </c>
      <c r="M21" s="11" t="str">
        <f t="shared" si="2"/>
        <v>37.900391/ -122.578164</v>
      </c>
      <c r="N21" s="5">
        <v>0.2</v>
      </c>
      <c r="O21" s="5">
        <v>0.72</v>
      </c>
      <c r="P21" s="5" t="s">
        <v>21</v>
      </c>
      <c r="Q21" s="5"/>
      <c r="R21" s="5">
        <v>60</v>
      </c>
      <c r="S21" s="5">
        <v>40</v>
      </c>
      <c r="T21" s="5"/>
      <c r="U21" s="5" t="s">
        <v>33</v>
      </c>
      <c r="V21" t="s">
        <v>30</v>
      </c>
      <c r="Z21" s="6"/>
      <c r="AA21" s="6"/>
    </row>
    <row r="22" spans="1:27" x14ac:dyDescent="0.35">
      <c r="A22" s="4">
        <v>43658</v>
      </c>
      <c r="B22" s="5" t="s">
        <v>10</v>
      </c>
      <c r="C22" s="5" t="s">
        <v>11</v>
      </c>
      <c r="D22" s="5">
        <v>16.100000000000001</v>
      </c>
      <c r="E22" s="5">
        <v>13.6</v>
      </c>
      <c r="F22" s="5" t="s">
        <v>20</v>
      </c>
      <c r="G22" s="5" t="s">
        <v>40</v>
      </c>
      <c r="H22" s="5">
        <v>6197</v>
      </c>
      <c r="I22" s="11">
        <v>37.900398800600001</v>
      </c>
      <c r="J22" s="11">
        <f t="shared" si="0"/>
        <v>37.900399</v>
      </c>
      <c r="K22" s="11">
        <v>-122.57817650600001</v>
      </c>
      <c r="L22" s="11">
        <f t="shared" si="1"/>
        <v>-122.578177</v>
      </c>
      <c r="M22" s="11" t="str">
        <f t="shared" si="2"/>
        <v>37.900399/ -122.578177</v>
      </c>
      <c r="N22" s="5">
        <v>0.22</v>
      </c>
      <c r="O22" s="5">
        <v>0.9</v>
      </c>
      <c r="P22" s="5" t="s">
        <v>23</v>
      </c>
      <c r="Q22" s="5"/>
      <c r="R22" s="5">
        <v>50</v>
      </c>
      <c r="S22" s="5">
        <v>50</v>
      </c>
      <c r="T22" s="5"/>
      <c r="U22" s="5" t="s">
        <v>33</v>
      </c>
      <c r="V22" t="s">
        <v>30</v>
      </c>
      <c r="Z22" s="6"/>
      <c r="AA22" s="6"/>
    </row>
    <row r="23" spans="1:27" x14ac:dyDescent="0.35">
      <c r="A23" s="4">
        <v>43658</v>
      </c>
      <c r="B23" s="5" t="s">
        <v>10</v>
      </c>
      <c r="C23" s="5" t="s">
        <v>11</v>
      </c>
      <c r="D23" s="5">
        <v>16.100000000000001</v>
      </c>
      <c r="E23" s="5">
        <v>13.6</v>
      </c>
      <c r="F23" s="5" t="s">
        <v>20</v>
      </c>
      <c r="G23" s="5" t="s">
        <v>40</v>
      </c>
      <c r="H23" s="5">
        <v>6200</v>
      </c>
      <c r="I23" s="11">
        <v>37.900400482599998</v>
      </c>
      <c r="J23" s="11">
        <f t="shared" si="0"/>
        <v>37.900399999999998</v>
      </c>
      <c r="K23" s="11">
        <v>-122.578180159</v>
      </c>
      <c r="L23" s="11">
        <f t="shared" si="1"/>
        <v>-122.57818</v>
      </c>
      <c r="M23" s="14" t="str">
        <f t="shared" si="2"/>
        <v>37.9004/ -122.57818</v>
      </c>
      <c r="N23" s="5">
        <v>0.25</v>
      </c>
      <c r="O23" s="5">
        <v>0.7</v>
      </c>
      <c r="P23" s="5" t="s">
        <v>22</v>
      </c>
      <c r="Q23" s="5"/>
      <c r="R23" s="5">
        <v>50</v>
      </c>
      <c r="S23" s="5">
        <v>50</v>
      </c>
      <c r="T23" s="5"/>
      <c r="U23" s="5" t="s">
        <v>33</v>
      </c>
      <c r="V23" t="s">
        <v>30</v>
      </c>
      <c r="Z23" s="6"/>
      <c r="AA23" s="6"/>
    </row>
    <row r="24" spans="1:27" x14ac:dyDescent="0.35">
      <c r="A24" s="4">
        <v>43658</v>
      </c>
      <c r="B24" s="5" t="s">
        <v>10</v>
      </c>
      <c r="C24" s="5" t="s">
        <v>11</v>
      </c>
      <c r="D24" s="5">
        <v>16.100000000000001</v>
      </c>
      <c r="E24" s="5">
        <v>13.6</v>
      </c>
      <c r="F24" s="5" t="s">
        <v>20</v>
      </c>
      <c r="G24" s="5" t="s">
        <v>40</v>
      </c>
      <c r="H24" s="5">
        <v>6202</v>
      </c>
      <c r="I24" s="11">
        <v>37.900402766600003</v>
      </c>
      <c r="J24" s="11">
        <f t="shared" si="0"/>
        <v>37.900402999999997</v>
      </c>
      <c r="K24" s="11">
        <v>-122.578185119</v>
      </c>
      <c r="L24" s="11">
        <f t="shared" si="1"/>
        <v>-122.578185</v>
      </c>
      <c r="M24" s="11" t="str">
        <f t="shared" si="2"/>
        <v>37.900403/ -122.578185</v>
      </c>
      <c r="N24" s="5">
        <v>0.2</v>
      </c>
      <c r="O24" s="5">
        <v>0.49</v>
      </c>
      <c r="P24" s="5" t="s">
        <v>22</v>
      </c>
      <c r="Q24" s="5"/>
      <c r="R24" s="5">
        <v>50</v>
      </c>
      <c r="S24" s="5">
        <v>50</v>
      </c>
      <c r="T24" s="5"/>
      <c r="U24" s="5" t="s">
        <v>33</v>
      </c>
      <c r="V24" t="s">
        <v>30</v>
      </c>
      <c r="Z24" s="6"/>
      <c r="AA24" s="6"/>
    </row>
    <row r="25" spans="1:27" s="2" customFormat="1" x14ac:dyDescent="0.35">
      <c r="A25" s="7">
        <v>43658</v>
      </c>
      <c r="B25" s="8" t="s">
        <v>10</v>
      </c>
      <c r="C25" s="8" t="s">
        <v>11</v>
      </c>
      <c r="D25" s="8">
        <v>16.100000000000001</v>
      </c>
      <c r="E25" s="8">
        <v>13.6</v>
      </c>
      <c r="F25" s="8" t="s">
        <v>20</v>
      </c>
      <c r="G25" s="5" t="s">
        <v>40</v>
      </c>
      <c r="H25" s="8">
        <v>6205</v>
      </c>
      <c r="I25" s="12">
        <v>37.900407420599997</v>
      </c>
      <c r="J25" s="11">
        <f t="shared" si="0"/>
        <v>37.900407000000001</v>
      </c>
      <c r="K25" s="12">
        <v>-122.578195225</v>
      </c>
      <c r="L25" s="11">
        <f t="shared" si="1"/>
        <v>-122.57819499999999</v>
      </c>
      <c r="M25" s="11" t="str">
        <f t="shared" si="2"/>
        <v>37.900407/ -122.578195</v>
      </c>
      <c r="N25" s="8">
        <v>0.22</v>
      </c>
      <c r="O25" s="8">
        <v>0.51</v>
      </c>
      <c r="P25" s="8" t="s">
        <v>22</v>
      </c>
      <c r="Q25" s="8"/>
      <c r="R25" s="8">
        <v>40</v>
      </c>
      <c r="S25" s="8">
        <v>60</v>
      </c>
      <c r="T25" s="8"/>
      <c r="U25" s="5" t="s">
        <v>33</v>
      </c>
      <c r="V25" t="s">
        <v>30</v>
      </c>
      <c r="Z25" s="6"/>
      <c r="AA25" s="6"/>
    </row>
    <row r="26" spans="1:27" x14ac:dyDescent="0.35">
      <c r="A26" s="4">
        <v>43658</v>
      </c>
      <c r="B26" s="5" t="s">
        <v>10</v>
      </c>
      <c r="C26" s="5" t="s">
        <v>11</v>
      </c>
      <c r="D26" s="5">
        <v>18.600000000000001</v>
      </c>
      <c r="E26" s="5">
        <v>14.6</v>
      </c>
      <c r="F26" s="5" t="s">
        <v>24</v>
      </c>
      <c r="G26" s="5" t="s">
        <v>41</v>
      </c>
      <c r="H26" s="5">
        <v>7029</v>
      </c>
      <c r="I26" s="11">
        <v>37.901059716799999</v>
      </c>
      <c r="J26" s="11">
        <f t="shared" si="0"/>
        <v>37.901060000000001</v>
      </c>
      <c r="K26" s="11">
        <v>-122.580623575</v>
      </c>
      <c r="L26" s="11">
        <f t="shared" si="1"/>
        <v>-122.580624</v>
      </c>
      <c r="M26" s="11" t="str">
        <f t="shared" si="2"/>
        <v>37.90106/ -122.580624</v>
      </c>
      <c r="N26" s="5">
        <v>0.2</v>
      </c>
      <c r="O26" s="5" t="s">
        <v>28</v>
      </c>
      <c r="P26" s="5" t="s">
        <v>21</v>
      </c>
      <c r="Q26" s="5"/>
      <c r="R26" s="5">
        <v>70</v>
      </c>
      <c r="S26" s="5">
        <v>30</v>
      </c>
      <c r="T26" s="5"/>
      <c r="U26" s="5" t="s">
        <v>33</v>
      </c>
      <c r="V26" t="s">
        <v>31</v>
      </c>
      <c r="Z26" s="6"/>
      <c r="AA26" s="6"/>
    </row>
    <row r="27" spans="1:27" x14ac:dyDescent="0.35">
      <c r="A27" s="4">
        <v>43658</v>
      </c>
      <c r="B27" s="5" t="s">
        <v>10</v>
      </c>
      <c r="C27" s="5" t="s">
        <v>11</v>
      </c>
      <c r="D27" s="5">
        <v>18.600000000000001</v>
      </c>
      <c r="E27" s="5">
        <v>14.6</v>
      </c>
      <c r="F27" s="5" t="s">
        <v>24</v>
      </c>
      <c r="G27" s="5" t="s">
        <v>41</v>
      </c>
      <c r="H27" s="5">
        <v>7032</v>
      </c>
      <c r="I27" s="11">
        <v>37.9010667903</v>
      </c>
      <c r="J27" s="11">
        <f t="shared" si="0"/>
        <v>37.901066999999998</v>
      </c>
      <c r="K27" s="11">
        <v>-122.58062690200001</v>
      </c>
      <c r="L27" s="11">
        <f t="shared" si="1"/>
        <v>-122.58062700000001</v>
      </c>
      <c r="M27" s="14" t="str">
        <f t="shared" si="2"/>
        <v>37.901067/ -122.580627</v>
      </c>
      <c r="N27" s="5">
        <v>0.2</v>
      </c>
      <c r="O27" s="5" t="s">
        <v>28</v>
      </c>
      <c r="P27" s="5" t="s">
        <v>23</v>
      </c>
      <c r="Q27" s="5"/>
      <c r="R27" s="5">
        <v>60</v>
      </c>
      <c r="S27" s="5">
        <v>40</v>
      </c>
      <c r="T27" s="5"/>
      <c r="U27" s="5" t="s">
        <v>33</v>
      </c>
      <c r="V27" t="s">
        <v>31</v>
      </c>
      <c r="Z27" s="6"/>
      <c r="AA27" s="6"/>
    </row>
    <row r="28" spans="1:27" x14ac:dyDescent="0.35">
      <c r="A28" s="4">
        <v>43658</v>
      </c>
      <c r="B28" s="5" t="s">
        <v>10</v>
      </c>
      <c r="C28" s="5" t="s">
        <v>11</v>
      </c>
      <c r="D28" s="5">
        <v>18.600000000000001</v>
      </c>
      <c r="E28" s="5">
        <v>14.6</v>
      </c>
      <c r="F28" s="5" t="s">
        <v>24</v>
      </c>
      <c r="G28" s="5" t="s">
        <v>41</v>
      </c>
      <c r="H28" s="5">
        <v>7036</v>
      </c>
      <c r="I28" s="11">
        <v>37.901079257900001</v>
      </c>
      <c r="J28" s="11">
        <f t="shared" si="0"/>
        <v>37.901079000000003</v>
      </c>
      <c r="K28" s="11">
        <v>-122.580632765</v>
      </c>
      <c r="L28" s="11">
        <f t="shared" si="1"/>
        <v>-122.58063300000001</v>
      </c>
      <c r="M28" s="11" t="str">
        <f t="shared" si="2"/>
        <v>37.901079/ -122.580633</v>
      </c>
      <c r="N28" s="5">
        <v>0.3</v>
      </c>
      <c r="O28" s="5" t="s">
        <v>28</v>
      </c>
      <c r="P28" s="5" t="s">
        <v>23</v>
      </c>
      <c r="Q28" s="5"/>
      <c r="R28" s="5">
        <v>50</v>
      </c>
      <c r="S28" s="5">
        <v>50</v>
      </c>
      <c r="T28" s="5"/>
      <c r="U28" s="5" t="s">
        <v>33</v>
      </c>
      <c r="V28" t="s">
        <v>31</v>
      </c>
      <c r="Z28" s="6"/>
      <c r="AA28" s="6"/>
    </row>
    <row r="29" spans="1:27" x14ac:dyDescent="0.35">
      <c r="A29" s="4">
        <v>43658</v>
      </c>
      <c r="B29" s="5" t="s">
        <v>10</v>
      </c>
      <c r="C29" s="5" t="s">
        <v>11</v>
      </c>
      <c r="D29" s="5">
        <v>18.600000000000001</v>
      </c>
      <c r="E29" s="5">
        <v>14.6</v>
      </c>
      <c r="F29" s="5" t="s">
        <v>24</v>
      </c>
      <c r="G29" s="5" t="s">
        <v>41</v>
      </c>
      <c r="H29" s="5">
        <v>7039</v>
      </c>
      <c r="I29" s="11">
        <v>37.901086930200002</v>
      </c>
      <c r="J29" s="11">
        <f t="shared" si="0"/>
        <v>37.901086999999997</v>
      </c>
      <c r="K29" s="11">
        <v>-122.580636373</v>
      </c>
      <c r="L29" s="11">
        <f t="shared" si="1"/>
        <v>-122.580636</v>
      </c>
      <c r="M29" s="11" t="str">
        <f t="shared" si="2"/>
        <v>37.901087/ -122.580636</v>
      </c>
      <c r="N29" s="5">
        <v>0.35</v>
      </c>
      <c r="O29" s="5" t="s">
        <v>28</v>
      </c>
      <c r="P29" s="5" t="s">
        <v>21</v>
      </c>
      <c r="Q29" s="5"/>
      <c r="R29" s="5">
        <v>70</v>
      </c>
      <c r="S29" s="5">
        <v>30</v>
      </c>
      <c r="T29" s="5"/>
      <c r="U29" s="5" t="s">
        <v>33</v>
      </c>
      <c r="V29" t="s">
        <v>31</v>
      </c>
      <c r="Z29" s="6"/>
      <c r="AA29" s="6"/>
    </row>
    <row r="30" spans="1:27" x14ac:dyDescent="0.35">
      <c r="A30" s="4">
        <v>43658</v>
      </c>
      <c r="B30" s="5" t="s">
        <v>10</v>
      </c>
      <c r="C30" s="5" t="s">
        <v>11</v>
      </c>
      <c r="D30" s="5">
        <v>18.600000000000001</v>
      </c>
      <c r="E30" s="5">
        <v>14.6</v>
      </c>
      <c r="F30" s="5" t="s">
        <v>25</v>
      </c>
      <c r="G30" s="5" t="s">
        <v>42</v>
      </c>
      <c r="H30" s="5">
        <v>7053</v>
      </c>
      <c r="I30" s="11">
        <v>37.901119690599998</v>
      </c>
      <c r="J30" s="11">
        <f t="shared" si="0"/>
        <v>37.901119999999999</v>
      </c>
      <c r="K30" s="11">
        <v>-122.580661709</v>
      </c>
      <c r="L30" s="11">
        <f t="shared" si="1"/>
        <v>-122.580662</v>
      </c>
      <c r="M30" s="11" t="str">
        <f t="shared" si="2"/>
        <v>37.90112/ -122.580662</v>
      </c>
      <c r="N30" s="5">
        <v>0.22</v>
      </c>
      <c r="O30" s="5" t="s">
        <v>28</v>
      </c>
      <c r="P30" s="5" t="s">
        <v>21</v>
      </c>
      <c r="Q30" s="5"/>
      <c r="R30" s="5">
        <v>75</v>
      </c>
      <c r="S30" s="5">
        <v>25</v>
      </c>
      <c r="T30" s="5"/>
      <c r="U30" s="5" t="s">
        <v>33</v>
      </c>
      <c r="V30" t="s">
        <v>31</v>
      </c>
      <c r="Z30" s="6"/>
      <c r="AA30" s="6"/>
    </row>
    <row r="31" spans="1:27" x14ac:dyDescent="0.35">
      <c r="A31" s="4">
        <v>43658</v>
      </c>
      <c r="B31" s="5" t="s">
        <v>10</v>
      </c>
      <c r="C31" s="5" t="s">
        <v>11</v>
      </c>
      <c r="D31" s="5">
        <v>18.600000000000001</v>
      </c>
      <c r="E31" s="5">
        <v>14.6</v>
      </c>
      <c r="F31" s="5" t="s">
        <v>25</v>
      </c>
      <c r="G31" s="5" t="s">
        <v>42</v>
      </c>
      <c r="H31" s="5">
        <v>7058</v>
      </c>
      <c r="I31" s="11">
        <v>37.901130000000002</v>
      </c>
      <c r="J31" s="11">
        <f t="shared" si="0"/>
        <v>37.901130000000002</v>
      </c>
      <c r="K31" s="11">
        <v>-122.58067200000001</v>
      </c>
      <c r="L31" s="11">
        <f t="shared" si="1"/>
        <v>-122.58067200000001</v>
      </c>
      <c r="M31" s="14" t="str">
        <f t="shared" si="2"/>
        <v>37.90113/ -122.580672</v>
      </c>
      <c r="N31" s="5">
        <v>0.25</v>
      </c>
      <c r="O31" s="5" t="s">
        <v>28</v>
      </c>
      <c r="P31" s="5" t="s">
        <v>21</v>
      </c>
      <c r="Q31" s="5"/>
      <c r="R31" s="5">
        <v>70</v>
      </c>
      <c r="S31" s="5">
        <v>30</v>
      </c>
      <c r="T31" s="5"/>
      <c r="U31" s="5" t="s">
        <v>33</v>
      </c>
      <c r="V31" t="s">
        <v>31</v>
      </c>
      <c r="Z31" s="6"/>
      <c r="AA31" s="6"/>
    </row>
    <row r="32" spans="1:27" x14ac:dyDescent="0.35">
      <c r="A32" s="4">
        <v>43658</v>
      </c>
      <c r="B32" s="5" t="s">
        <v>10</v>
      </c>
      <c r="C32" s="5" t="s">
        <v>11</v>
      </c>
      <c r="D32" s="5">
        <v>18.600000000000001</v>
      </c>
      <c r="E32" s="5">
        <v>14.6</v>
      </c>
      <c r="F32" s="5" t="s">
        <v>25</v>
      </c>
      <c r="G32" s="5" t="s">
        <v>42</v>
      </c>
      <c r="H32" s="5">
        <v>7063</v>
      </c>
      <c r="I32" s="11">
        <v>37.901139857799997</v>
      </c>
      <c r="J32" s="11">
        <f t="shared" si="0"/>
        <v>37.901139999999998</v>
      </c>
      <c r="K32" s="11">
        <v>-122.58068289400001</v>
      </c>
      <c r="L32" s="11">
        <f t="shared" si="1"/>
        <v>-122.58068299999999</v>
      </c>
      <c r="M32" s="11" t="str">
        <f t="shared" si="2"/>
        <v>37.90114/ -122.580683</v>
      </c>
      <c r="N32" s="5">
        <v>0.3</v>
      </c>
      <c r="O32" s="5" t="s">
        <v>28</v>
      </c>
      <c r="P32" s="5" t="s">
        <v>22</v>
      </c>
      <c r="Q32" s="5"/>
      <c r="R32" s="5">
        <v>40</v>
      </c>
      <c r="S32" s="5">
        <v>60</v>
      </c>
      <c r="T32" s="5"/>
      <c r="U32" s="5" t="s">
        <v>33</v>
      </c>
      <c r="V32" t="s">
        <v>31</v>
      </c>
      <c r="Z32" s="6"/>
      <c r="AA32" s="6"/>
    </row>
    <row r="33" spans="1:27" x14ac:dyDescent="0.35">
      <c r="A33" s="4">
        <v>43658</v>
      </c>
      <c r="B33" s="5" t="s">
        <v>10</v>
      </c>
      <c r="C33" s="5" t="s">
        <v>11</v>
      </c>
      <c r="D33" s="5">
        <v>18.600000000000001</v>
      </c>
      <c r="E33" s="5">
        <v>14.6</v>
      </c>
      <c r="F33" s="5" t="s">
        <v>26</v>
      </c>
      <c r="G33" s="5" t="s">
        <v>42</v>
      </c>
      <c r="H33" s="5">
        <v>7065</v>
      </c>
      <c r="I33" s="11">
        <v>37.901144096899998</v>
      </c>
      <c r="J33" s="11">
        <f t="shared" si="0"/>
        <v>37.901144000000002</v>
      </c>
      <c r="K33" s="11">
        <v>-122.58068734699999</v>
      </c>
      <c r="L33" s="11">
        <f t="shared" si="1"/>
        <v>-122.580687</v>
      </c>
      <c r="M33" s="11" t="str">
        <f t="shared" si="2"/>
        <v>37.901144/ -122.580687</v>
      </c>
      <c r="N33" s="5">
        <v>0.4</v>
      </c>
      <c r="O33" s="5" t="s">
        <v>28</v>
      </c>
      <c r="P33" s="5" t="s">
        <v>21</v>
      </c>
      <c r="Q33" s="5"/>
      <c r="R33" s="5">
        <v>70</v>
      </c>
      <c r="S33" s="5">
        <v>30</v>
      </c>
      <c r="T33" s="5"/>
      <c r="U33" s="5" t="s">
        <v>33</v>
      </c>
      <c r="V33" t="s">
        <v>31</v>
      </c>
      <c r="Z33" s="6"/>
      <c r="AA33" s="6"/>
    </row>
    <row r="34" spans="1:27" x14ac:dyDescent="0.35">
      <c r="A34" s="4">
        <v>43658</v>
      </c>
      <c r="B34" s="5" t="s">
        <v>10</v>
      </c>
      <c r="C34" s="5" t="s">
        <v>11</v>
      </c>
      <c r="D34" s="5">
        <v>18.600000000000001</v>
      </c>
      <c r="E34" s="5">
        <v>14.6</v>
      </c>
      <c r="F34" s="5" t="s">
        <v>27</v>
      </c>
      <c r="G34" s="5" t="s">
        <v>43</v>
      </c>
      <c r="H34" s="5">
        <v>7101</v>
      </c>
      <c r="I34" s="11">
        <v>37.901221422500001</v>
      </c>
      <c r="J34" s="11">
        <f t="shared" si="0"/>
        <v>37.901221</v>
      </c>
      <c r="K34" s="11">
        <v>-122.580767288</v>
      </c>
      <c r="L34" s="11">
        <f t="shared" si="1"/>
        <v>-122.58076699999999</v>
      </c>
      <c r="M34" s="11" t="str">
        <f t="shared" si="2"/>
        <v>37.901221/ -122.580767</v>
      </c>
      <c r="N34" s="5">
        <v>0.4</v>
      </c>
      <c r="O34" s="5" t="s">
        <v>28</v>
      </c>
      <c r="P34" s="5" t="s">
        <v>23</v>
      </c>
      <c r="Q34" s="5"/>
      <c r="R34" s="5">
        <v>70</v>
      </c>
      <c r="S34" s="5">
        <v>30</v>
      </c>
      <c r="T34" s="5"/>
      <c r="U34" s="5" t="s">
        <v>33</v>
      </c>
      <c r="V34" t="s">
        <v>31</v>
      </c>
      <c r="Z34" s="6"/>
      <c r="AA34" s="6"/>
    </row>
    <row r="35" spans="1:27" x14ac:dyDescent="0.35">
      <c r="A35" s="4">
        <v>43658</v>
      </c>
      <c r="B35" s="5" t="s">
        <v>10</v>
      </c>
      <c r="C35" s="5" t="s">
        <v>11</v>
      </c>
      <c r="D35" s="5">
        <v>18.600000000000001</v>
      </c>
      <c r="E35" s="5">
        <v>14.6</v>
      </c>
      <c r="F35" s="5" t="s">
        <v>27</v>
      </c>
      <c r="G35" s="5" t="s">
        <v>43</v>
      </c>
      <c r="H35" s="5">
        <v>7104</v>
      </c>
      <c r="I35" s="11">
        <v>37.901227094100001</v>
      </c>
      <c r="J35" s="11">
        <f t="shared" si="0"/>
        <v>37.901226999999999</v>
      </c>
      <c r="K35" s="11">
        <v>-122.580773091</v>
      </c>
      <c r="L35" s="11">
        <f t="shared" si="1"/>
        <v>-122.58077299999999</v>
      </c>
      <c r="M35" s="14" t="str">
        <f t="shared" si="2"/>
        <v>37.901227/ -122.580773</v>
      </c>
      <c r="N35" s="5">
        <v>0.3</v>
      </c>
      <c r="O35" s="5" t="s">
        <v>28</v>
      </c>
      <c r="P35" s="5" t="s">
        <v>21</v>
      </c>
      <c r="Q35" s="5"/>
      <c r="R35" s="5">
        <v>80</v>
      </c>
      <c r="S35" s="5">
        <v>20</v>
      </c>
      <c r="T35" s="5"/>
      <c r="U35" s="5" t="s">
        <v>33</v>
      </c>
      <c r="V35" t="s">
        <v>31</v>
      </c>
      <c r="Z35" s="6"/>
      <c r="AA35" s="6"/>
    </row>
    <row r="36" spans="1:27" x14ac:dyDescent="0.35">
      <c r="A36" s="4">
        <v>43658</v>
      </c>
      <c r="B36" s="5" t="s">
        <v>10</v>
      </c>
      <c r="C36" s="5" t="s">
        <v>11</v>
      </c>
      <c r="D36" s="5">
        <v>18.600000000000001</v>
      </c>
      <c r="E36" s="5">
        <v>14.6</v>
      </c>
      <c r="F36" s="5" t="s">
        <v>27</v>
      </c>
      <c r="G36" s="5" t="s">
        <v>43</v>
      </c>
      <c r="H36" s="5">
        <v>7136</v>
      </c>
      <c r="I36" s="11">
        <v>37.901269804899997</v>
      </c>
      <c r="J36" s="11">
        <f t="shared" si="0"/>
        <v>37.901269999999997</v>
      </c>
      <c r="K36" s="11">
        <v>-122.58085953699999</v>
      </c>
      <c r="L36" s="11">
        <f t="shared" si="1"/>
        <v>-122.58086</v>
      </c>
      <c r="M36" s="11" t="str">
        <f t="shared" si="2"/>
        <v>37.90127/ -122.58086</v>
      </c>
      <c r="N36" s="5">
        <v>0.25</v>
      </c>
      <c r="O36" s="5" t="s">
        <v>28</v>
      </c>
      <c r="P36" s="5" t="s">
        <v>21</v>
      </c>
      <c r="Q36" s="5"/>
      <c r="R36" s="5">
        <v>80</v>
      </c>
      <c r="S36" s="5">
        <v>20</v>
      </c>
      <c r="T36" s="5"/>
      <c r="U36" s="5" t="s">
        <v>33</v>
      </c>
      <c r="V36" t="s">
        <v>31</v>
      </c>
      <c r="Z36" s="6"/>
      <c r="AA36" s="6"/>
    </row>
    <row r="37" spans="1:27" x14ac:dyDescent="0.35">
      <c r="A37" s="4">
        <v>43658</v>
      </c>
      <c r="B37" s="5" t="s">
        <v>10</v>
      </c>
      <c r="C37" s="5" t="s">
        <v>11</v>
      </c>
      <c r="D37" s="5">
        <v>18.600000000000001</v>
      </c>
      <c r="E37" s="5">
        <v>14.6</v>
      </c>
      <c r="F37" s="5" t="s">
        <v>27</v>
      </c>
      <c r="G37" s="5" t="s">
        <v>43</v>
      </c>
      <c r="H37" s="5">
        <v>7147</v>
      </c>
      <c r="I37" s="11">
        <v>37.901270370399999</v>
      </c>
      <c r="J37" s="11">
        <f t="shared" si="0"/>
        <v>37.901269999999997</v>
      </c>
      <c r="K37" s="11">
        <v>-122.58089796</v>
      </c>
      <c r="L37" s="11">
        <f t="shared" si="1"/>
        <v>-122.580898</v>
      </c>
      <c r="M37" s="11" t="str">
        <f t="shared" si="2"/>
        <v>37.90127/ -122.580898</v>
      </c>
      <c r="N37" s="5">
        <v>0.4</v>
      </c>
      <c r="O37" s="5" t="s">
        <v>28</v>
      </c>
      <c r="P37" s="5" t="s">
        <v>21</v>
      </c>
      <c r="Q37" s="5"/>
      <c r="R37" s="5">
        <v>70</v>
      </c>
      <c r="S37" s="5">
        <v>30</v>
      </c>
      <c r="T37" s="5"/>
      <c r="U37" s="5" t="s">
        <v>33</v>
      </c>
      <c r="V37" t="s">
        <v>31</v>
      </c>
      <c r="Z37" s="6"/>
      <c r="AA37" s="6"/>
    </row>
    <row r="38" spans="1:27" x14ac:dyDescent="0.35">
      <c r="Z38" s="6"/>
      <c r="AA38" s="6"/>
    </row>
  </sheetData>
  <pageMargins left="0.7" right="0.7" top="0.75" bottom="0.75" header="0.3" footer="0.3"/>
  <pageSetup scale="6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3"/>
  <sheetViews>
    <sheetView tabSelected="1" zoomScale="89" zoomScaleNormal="89" workbookViewId="0">
      <pane ySplit="1" topLeftCell="A2" activePane="bottomLeft" state="frozen"/>
      <selection pane="bottomLeft" activeCell="G42" sqref="G42"/>
    </sheetView>
  </sheetViews>
  <sheetFormatPr defaultRowHeight="14.5" x14ac:dyDescent="0.35"/>
  <cols>
    <col min="1" max="1" width="10.54296875" bestFit="1" customWidth="1"/>
    <col min="2" max="2" width="12.1796875" customWidth="1"/>
    <col min="3" max="3" width="13.81640625" bestFit="1" customWidth="1"/>
    <col min="5" max="5" width="10.1796875" bestFit="1" customWidth="1"/>
    <col min="6" max="6" width="12.1796875" customWidth="1"/>
    <col min="7" max="7" width="13.1796875" bestFit="1" customWidth="1"/>
    <col min="8" max="8" width="13" customWidth="1"/>
    <col min="9" max="9" width="17.7265625" bestFit="1" customWidth="1"/>
    <col min="10" max="10" width="18.54296875" bestFit="1" customWidth="1"/>
    <col min="11" max="11" width="10.54296875" style="13" bestFit="1" customWidth="1"/>
    <col min="12" max="12" width="12.26953125" style="13" bestFit="1" customWidth="1"/>
    <col min="13" max="13" width="23" style="13" bestFit="1" customWidth="1"/>
    <col min="14" max="14" width="13.26953125" customWidth="1"/>
    <col min="15" max="15" width="13" customWidth="1"/>
    <col min="16" max="16" width="14.81640625" customWidth="1"/>
    <col min="22" max="22" width="12.1796875" bestFit="1" customWidth="1"/>
    <col min="23" max="23" width="29.26953125" bestFit="1" customWidth="1"/>
    <col min="24" max="24" width="45.54296875" bestFit="1" customWidth="1"/>
  </cols>
  <sheetData>
    <row r="1" spans="1:24" ht="36" customHeight="1" x14ac:dyDescent="0.35">
      <c r="A1" s="3" t="s">
        <v>0</v>
      </c>
      <c r="B1" s="3" t="s">
        <v>1</v>
      </c>
      <c r="C1" s="3" t="s">
        <v>2</v>
      </c>
      <c r="D1" s="3" t="s">
        <v>8</v>
      </c>
      <c r="E1" s="3" t="s">
        <v>9</v>
      </c>
      <c r="F1" s="3" t="s">
        <v>3</v>
      </c>
      <c r="G1" s="3" t="s">
        <v>34</v>
      </c>
      <c r="H1" s="3" t="s">
        <v>4</v>
      </c>
      <c r="I1" s="10" t="s">
        <v>5</v>
      </c>
      <c r="J1" s="10" t="s">
        <v>6</v>
      </c>
      <c r="K1" s="10" t="s">
        <v>46</v>
      </c>
      <c r="L1" s="10" t="s">
        <v>47</v>
      </c>
      <c r="M1" s="10" t="s">
        <v>58</v>
      </c>
      <c r="N1" s="3" t="s">
        <v>7</v>
      </c>
      <c r="O1" s="3" t="s">
        <v>45</v>
      </c>
      <c r="P1" s="3" t="s">
        <v>83</v>
      </c>
      <c r="Q1" s="3" t="s">
        <v>63</v>
      </c>
      <c r="R1" s="3" t="s">
        <v>64</v>
      </c>
      <c r="S1" s="3" t="s">
        <v>65</v>
      </c>
      <c r="T1" s="3" t="s">
        <v>80</v>
      </c>
      <c r="U1" s="3" t="s">
        <v>81</v>
      </c>
      <c r="V1" s="3" t="s">
        <v>32</v>
      </c>
      <c r="W1" s="9" t="s">
        <v>16</v>
      </c>
      <c r="X1" s="3" t="s">
        <v>48</v>
      </c>
    </row>
    <row r="2" spans="1:24" x14ac:dyDescent="0.35">
      <c r="A2" s="15">
        <v>43852</v>
      </c>
      <c r="B2" t="s">
        <v>10</v>
      </c>
      <c r="C2" t="s">
        <v>11</v>
      </c>
      <c r="E2">
        <v>9.5</v>
      </c>
      <c r="F2" t="s">
        <v>12</v>
      </c>
      <c r="G2" s="5" t="s">
        <v>35</v>
      </c>
      <c r="H2">
        <v>5992</v>
      </c>
      <c r="I2" s="17">
        <v>37.900067281586601</v>
      </c>
      <c r="J2" s="16">
        <v>-122.57759841819301</v>
      </c>
      <c r="K2" s="13">
        <f>ROUND(I2,6)</f>
        <v>37.900067</v>
      </c>
      <c r="L2" s="13">
        <f>ROUND(J2,6)</f>
        <v>-122.57759799999999</v>
      </c>
      <c r="M2" s="13" t="str">
        <f>CONCATENATE(K2, "/",L2)</f>
        <v>37.900067/-122.577598</v>
      </c>
      <c r="N2">
        <v>0.7</v>
      </c>
      <c r="O2">
        <v>1.3</v>
      </c>
      <c r="P2" t="s">
        <v>23</v>
      </c>
      <c r="R2">
        <v>75</v>
      </c>
      <c r="S2">
        <v>25</v>
      </c>
      <c r="V2" t="s">
        <v>33</v>
      </c>
      <c r="W2" t="s">
        <v>44</v>
      </c>
      <c r="X2" t="s">
        <v>49</v>
      </c>
    </row>
    <row r="3" spans="1:24" x14ac:dyDescent="0.35">
      <c r="A3" s="15">
        <v>43852</v>
      </c>
      <c r="B3" t="s">
        <v>10</v>
      </c>
      <c r="C3" t="s">
        <v>11</v>
      </c>
      <c r="E3">
        <v>9.5</v>
      </c>
      <c r="F3" t="s">
        <v>12</v>
      </c>
      <c r="G3" s="5" t="s">
        <v>35</v>
      </c>
      <c r="H3">
        <v>5993</v>
      </c>
      <c r="I3" s="17">
        <v>37.900068428505101</v>
      </c>
      <c r="J3" s="16">
        <v>-122.57760168769001</v>
      </c>
      <c r="K3" s="13">
        <f t="shared" ref="K3:K37" si="0">ROUND(I3,6)</f>
        <v>37.900067999999997</v>
      </c>
      <c r="L3" s="13">
        <f t="shared" ref="L3:L37" si="1">ROUND(J3,6)</f>
        <v>-122.577602</v>
      </c>
      <c r="M3" s="13" t="str">
        <f t="shared" ref="M3:M37" si="2">CONCATENATE(K3, "/",L3)</f>
        <v>37.900068/-122.577602</v>
      </c>
      <c r="N3">
        <v>0.6</v>
      </c>
      <c r="O3">
        <v>0.75</v>
      </c>
      <c r="P3" t="s">
        <v>21</v>
      </c>
      <c r="R3">
        <v>75</v>
      </c>
      <c r="S3">
        <v>25</v>
      </c>
      <c r="V3" t="s">
        <v>33</v>
      </c>
      <c r="W3" t="s">
        <v>44</v>
      </c>
    </row>
    <row r="4" spans="1:24" x14ac:dyDescent="0.35">
      <c r="A4" s="15">
        <v>43852</v>
      </c>
      <c r="B4" t="s">
        <v>10</v>
      </c>
      <c r="C4" t="s">
        <v>11</v>
      </c>
      <c r="E4">
        <v>9.5</v>
      </c>
      <c r="F4" t="s">
        <v>12</v>
      </c>
      <c r="G4" s="5" t="s">
        <v>35</v>
      </c>
      <c r="H4">
        <v>5995</v>
      </c>
      <c r="I4" s="17">
        <v>37.9000711353846</v>
      </c>
      <c r="J4" s="16">
        <v>-122.577607684485</v>
      </c>
      <c r="K4" s="13">
        <f t="shared" si="0"/>
        <v>37.900070999999997</v>
      </c>
      <c r="L4" s="13">
        <f t="shared" si="1"/>
        <v>-122.577608</v>
      </c>
      <c r="M4" s="18" t="str">
        <f t="shared" si="2"/>
        <v>37.900071/-122.577608</v>
      </c>
      <c r="N4">
        <v>0.6</v>
      </c>
      <c r="O4">
        <v>1.37</v>
      </c>
      <c r="P4" t="s">
        <v>21</v>
      </c>
      <c r="R4">
        <v>75</v>
      </c>
      <c r="S4">
        <v>25</v>
      </c>
      <c r="V4" t="s">
        <v>33</v>
      </c>
      <c r="W4" t="s">
        <v>44</v>
      </c>
    </row>
    <row r="5" spans="1:24" x14ac:dyDescent="0.35">
      <c r="A5" s="15">
        <v>43852</v>
      </c>
      <c r="B5" t="s">
        <v>10</v>
      </c>
      <c r="C5" t="s">
        <v>11</v>
      </c>
      <c r="E5">
        <v>9.5</v>
      </c>
      <c r="F5" t="s">
        <v>12</v>
      </c>
      <c r="G5" s="5" t="s">
        <v>35</v>
      </c>
      <c r="H5">
        <v>5998</v>
      </c>
      <c r="I5" s="17">
        <v>37.900074820646097</v>
      </c>
      <c r="J5" s="16">
        <v>-122.57761695496499</v>
      </c>
      <c r="K5" s="13">
        <f t="shared" si="0"/>
        <v>37.900075000000001</v>
      </c>
      <c r="L5" s="13">
        <f t="shared" si="1"/>
        <v>-122.577617</v>
      </c>
      <c r="M5" s="13" t="str">
        <f t="shared" si="2"/>
        <v>37.900075/-122.577617</v>
      </c>
      <c r="N5">
        <v>0.7</v>
      </c>
      <c r="O5">
        <v>0.87</v>
      </c>
      <c r="P5" t="s">
        <v>22</v>
      </c>
      <c r="R5">
        <v>50</v>
      </c>
      <c r="S5">
        <v>50</v>
      </c>
      <c r="V5" t="s">
        <v>33</v>
      </c>
      <c r="W5" t="s">
        <v>44</v>
      </c>
    </row>
    <row r="6" spans="1:24" x14ac:dyDescent="0.35">
      <c r="A6" s="15">
        <v>43852</v>
      </c>
      <c r="B6" t="s">
        <v>10</v>
      </c>
      <c r="C6" t="s">
        <v>11</v>
      </c>
      <c r="E6">
        <v>9.5</v>
      </c>
      <c r="F6" t="s">
        <v>14</v>
      </c>
      <c r="G6" s="5" t="s">
        <v>36</v>
      </c>
      <c r="H6">
        <v>6034</v>
      </c>
      <c r="I6" s="17">
        <v>37.900124294529697</v>
      </c>
      <c r="J6" s="16">
        <v>-122.57772434678699</v>
      </c>
      <c r="K6" s="13">
        <f t="shared" si="0"/>
        <v>37.900123999999998</v>
      </c>
      <c r="L6" s="13">
        <f t="shared" si="1"/>
        <v>-122.577724</v>
      </c>
      <c r="M6" s="13" t="str">
        <f t="shared" si="2"/>
        <v>37.900124/-122.577724</v>
      </c>
      <c r="N6">
        <v>0.65</v>
      </c>
      <c r="O6">
        <v>0.43</v>
      </c>
      <c r="P6" t="s">
        <v>23</v>
      </c>
      <c r="R6">
        <v>50</v>
      </c>
      <c r="S6">
        <v>50</v>
      </c>
      <c r="V6" t="s">
        <v>33</v>
      </c>
      <c r="W6" t="s">
        <v>44</v>
      </c>
      <c r="X6" t="s">
        <v>50</v>
      </c>
    </row>
    <row r="7" spans="1:24" x14ac:dyDescent="0.35">
      <c r="A7" s="15">
        <v>43852</v>
      </c>
      <c r="B7" t="s">
        <v>10</v>
      </c>
      <c r="C7" t="s">
        <v>11</v>
      </c>
      <c r="E7">
        <v>9.5</v>
      </c>
      <c r="F7" t="s">
        <v>14</v>
      </c>
      <c r="G7" s="5" t="s">
        <v>36</v>
      </c>
      <c r="H7">
        <v>6047</v>
      </c>
      <c r="I7" s="17">
        <v>37.900145525814999</v>
      </c>
      <c r="J7" s="16">
        <v>-122.577761373887</v>
      </c>
      <c r="K7" s="13">
        <f t="shared" si="0"/>
        <v>37.900145999999999</v>
      </c>
      <c r="L7" s="13">
        <f t="shared" si="1"/>
        <v>-122.577761</v>
      </c>
      <c r="M7" s="18" t="str">
        <f t="shared" si="2"/>
        <v>37.900146/-122.577761</v>
      </c>
      <c r="N7">
        <v>0.5</v>
      </c>
      <c r="O7">
        <v>0.65</v>
      </c>
      <c r="P7" t="s">
        <v>23</v>
      </c>
      <c r="R7">
        <v>50</v>
      </c>
      <c r="S7">
        <v>50</v>
      </c>
      <c r="V7" t="s">
        <v>33</v>
      </c>
      <c r="W7" t="s">
        <v>44</v>
      </c>
      <c r="X7" t="s">
        <v>51</v>
      </c>
    </row>
    <row r="8" spans="1:24" x14ac:dyDescent="0.35">
      <c r="A8" s="15">
        <v>43852</v>
      </c>
      <c r="B8" t="s">
        <v>10</v>
      </c>
      <c r="C8" t="s">
        <v>11</v>
      </c>
      <c r="E8">
        <v>9.5</v>
      </c>
      <c r="F8" t="s">
        <v>14</v>
      </c>
      <c r="G8" s="5" t="s">
        <v>36</v>
      </c>
      <c r="H8">
        <v>6050</v>
      </c>
      <c r="I8" s="17">
        <v>37.900149782688999</v>
      </c>
      <c r="J8" s="16">
        <v>-122.577769459923</v>
      </c>
      <c r="K8" s="13">
        <f t="shared" si="0"/>
        <v>37.900149999999996</v>
      </c>
      <c r="L8" s="13">
        <f t="shared" si="1"/>
        <v>-122.577769</v>
      </c>
      <c r="M8" s="13" t="str">
        <f t="shared" si="2"/>
        <v>37.90015/-122.577769</v>
      </c>
      <c r="N8">
        <v>0.65</v>
      </c>
      <c r="O8">
        <v>0.48</v>
      </c>
      <c r="P8" t="s">
        <v>21</v>
      </c>
      <c r="R8">
        <v>75</v>
      </c>
      <c r="S8">
        <v>25</v>
      </c>
      <c r="V8" t="s">
        <v>33</v>
      </c>
      <c r="W8" t="s">
        <v>44</v>
      </c>
    </row>
    <row r="9" spans="1:24" x14ac:dyDescent="0.35">
      <c r="A9" s="15">
        <v>43852</v>
      </c>
      <c r="B9" t="s">
        <v>10</v>
      </c>
      <c r="C9" t="s">
        <v>11</v>
      </c>
      <c r="E9">
        <v>9.5</v>
      </c>
      <c r="F9" t="s">
        <v>14</v>
      </c>
      <c r="G9" s="5" t="s">
        <v>36</v>
      </c>
      <c r="H9">
        <v>6059</v>
      </c>
      <c r="I9" s="17">
        <v>37.9001629335148</v>
      </c>
      <c r="J9" s="16">
        <v>-122.577796474656</v>
      </c>
      <c r="K9" s="13">
        <f t="shared" si="0"/>
        <v>37.900162999999999</v>
      </c>
      <c r="L9" s="13">
        <f t="shared" si="1"/>
        <v>-122.57779600000001</v>
      </c>
      <c r="M9" s="13" t="str">
        <f t="shared" si="2"/>
        <v>37.900163/-122.577796</v>
      </c>
      <c r="N9">
        <v>0.5</v>
      </c>
      <c r="O9">
        <v>0.65</v>
      </c>
      <c r="P9" t="s">
        <v>21</v>
      </c>
      <c r="R9">
        <v>80</v>
      </c>
      <c r="S9">
        <v>20</v>
      </c>
      <c r="V9" t="s">
        <v>33</v>
      </c>
      <c r="W9" t="s">
        <v>44</v>
      </c>
    </row>
    <row r="10" spans="1:24" x14ac:dyDescent="0.35">
      <c r="A10" s="15">
        <v>43852</v>
      </c>
      <c r="B10" t="s">
        <v>10</v>
      </c>
      <c r="C10" t="s">
        <v>11</v>
      </c>
      <c r="E10">
        <v>9.5</v>
      </c>
      <c r="F10" t="s">
        <v>15</v>
      </c>
      <c r="G10" s="5" t="s">
        <v>37</v>
      </c>
      <c r="H10">
        <v>6069</v>
      </c>
      <c r="I10" s="17">
        <v>37.900176794688598</v>
      </c>
      <c r="J10" s="16">
        <v>-122.577826078773</v>
      </c>
      <c r="K10" s="13">
        <f t="shared" si="0"/>
        <v>37.900176999999999</v>
      </c>
      <c r="L10" s="13">
        <f t="shared" si="1"/>
        <v>-122.577826</v>
      </c>
      <c r="M10" s="13" t="str">
        <f t="shared" si="2"/>
        <v>37.900177/-122.577826</v>
      </c>
      <c r="N10">
        <v>0.55000000000000004</v>
      </c>
      <c r="O10">
        <v>0.86</v>
      </c>
      <c r="P10" t="s">
        <v>23</v>
      </c>
      <c r="R10">
        <v>50</v>
      </c>
      <c r="S10">
        <v>50</v>
      </c>
      <c r="V10" t="s">
        <v>33</v>
      </c>
      <c r="W10" t="s">
        <v>44</v>
      </c>
      <c r="X10" t="s">
        <v>52</v>
      </c>
    </row>
    <row r="11" spans="1:24" x14ac:dyDescent="0.35">
      <c r="A11" s="15">
        <v>43852</v>
      </c>
      <c r="B11" t="s">
        <v>10</v>
      </c>
      <c r="C11" t="s">
        <v>11</v>
      </c>
      <c r="E11">
        <v>9.5</v>
      </c>
      <c r="F11" t="s">
        <v>15</v>
      </c>
      <c r="G11" s="5" t="s">
        <v>37</v>
      </c>
      <c r="H11">
        <v>6075</v>
      </c>
      <c r="I11" s="17">
        <v>37.900185341895401</v>
      </c>
      <c r="J11" s="16">
        <v>-122.577844111264</v>
      </c>
      <c r="K11" s="13">
        <f t="shared" si="0"/>
        <v>37.900185</v>
      </c>
      <c r="L11" s="13">
        <f t="shared" si="1"/>
        <v>-122.577844</v>
      </c>
      <c r="M11" s="13" t="str">
        <f t="shared" si="2"/>
        <v>37.900185/-122.577844</v>
      </c>
      <c r="N11">
        <v>0.65</v>
      </c>
      <c r="O11">
        <v>0.83</v>
      </c>
      <c r="P11" t="s">
        <v>23</v>
      </c>
      <c r="R11">
        <v>50</v>
      </c>
      <c r="S11">
        <v>50</v>
      </c>
      <c r="V11" t="s">
        <v>33</v>
      </c>
      <c r="W11" t="s">
        <v>44</v>
      </c>
    </row>
    <row r="12" spans="1:24" x14ac:dyDescent="0.35">
      <c r="A12" s="15">
        <v>43852</v>
      </c>
      <c r="B12" t="s">
        <v>10</v>
      </c>
      <c r="C12" t="s">
        <v>11</v>
      </c>
      <c r="E12">
        <v>9.5</v>
      </c>
      <c r="F12" t="s">
        <v>15</v>
      </c>
      <c r="G12" s="5" t="s">
        <v>37</v>
      </c>
      <c r="H12">
        <v>6081</v>
      </c>
      <c r="I12" s="17">
        <v>37.900193710322</v>
      </c>
      <c r="J12" s="16">
        <v>-122.577861776387</v>
      </c>
      <c r="K12" s="13">
        <f t="shared" si="0"/>
        <v>37.900193999999999</v>
      </c>
      <c r="L12" s="13">
        <f t="shared" si="1"/>
        <v>-122.577862</v>
      </c>
      <c r="M12" s="18" t="str">
        <f t="shared" si="2"/>
        <v>37.900194/-122.577862</v>
      </c>
      <c r="N12">
        <v>0.75</v>
      </c>
      <c r="O12">
        <v>0.88</v>
      </c>
      <c r="P12" t="s">
        <v>23</v>
      </c>
      <c r="R12">
        <v>50</v>
      </c>
      <c r="S12">
        <v>50</v>
      </c>
      <c r="V12" t="s">
        <v>33</v>
      </c>
      <c r="W12" t="s">
        <v>44</v>
      </c>
    </row>
    <row r="13" spans="1:24" x14ac:dyDescent="0.35">
      <c r="A13" s="15">
        <v>43852</v>
      </c>
      <c r="B13" t="s">
        <v>10</v>
      </c>
      <c r="C13" t="s">
        <v>11</v>
      </c>
      <c r="E13">
        <v>9.5</v>
      </c>
      <c r="F13" t="s">
        <v>15</v>
      </c>
      <c r="G13" s="5" t="s">
        <v>37</v>
      </c>
      <c r="H13">
        <v>6088</v>
      </c>
      <c r="I13" s="17">
        <v>37.900203724627502</v>
      </c>
      <c r="J13" s="16">
        <v>-122.577882273074</v>
      </c>
      <c r="K13" s="13">
        <f t="shared" si="0"/>
        <v>37.900204000000002</v>
      </c>
      <c r="L13" s="13">
        <f t="shared" si="1"/>
        <v>-122.577882</v>
      </c>
      <c r="M13" s="13" t="str">
        <f t="shared" si="2"/>
        <v>37.900204/-122.577882</v>
      </c>
      <c r="N13">
        <v>0.7</v>
      </c>
      <c r="O13">
        <v>0.38</v>
      </c>
      <c r="P13" t="s">
        <v>23</v>
      </c>
      <c r="R13">
        <v>50</v>
      </c>
      <c r="S13">
        <v>50</v>
      </c>
      <c r="V13" t="s">
        <v>33</v>
      </c>
      <c r="W13" t="s">
        <v>44</v>
      </c>
    </row>
    <row r="14" spans="1:24" x14ac:dyDescent="0.35">
      <c r="A14" s="15">
        <v>43852</v>
      </c>
      <c r="B14" t="s">
        <v>10</v>
      </c>
      <c r="C14" t="s">
        <v>11</v>
      </c>
      <c r="E14">
        <v>9.5</v>
      </c>
      <c r="F14" t="s">
        <v>18</v>
      </c>
      <c r="G14" s="5" t="s">
        <v>38</v>
      </c>
      <c r="H14">
        <v>6165</v>
      </c>
      <c r="I14" s="17">
        <v>37.900340429761499</v>
      </c>
      <c r="J14" s="16">
        <v>-122.578085693624</v>
      </c>
      <c r="K14" s="13">
        <f t="shared" si="0"/>
        <v>37.90034</v>
      </c>
      <c r="L14" s="13">
        <f t="shared" si="1"/>
        <v>-122.578086</v>
      </c>
      <c r="M14" s="13" t="str">
        <f t="shared" si="2"/>
        <v>37.90034/-122.578086</v>
      </c>
      <c r="N14">
        <v>0.75</v>
      </c>
      <c r="O14">
        <v>0.09</v>
      </c>
      <c r="P14" t="s">
        <v>21</v>
      </c>
      <c r="R14">
        <v>75</v>
      </c>
      <c r="T14">
        <v>25</v>
      </c>
      <c r="V14" t="s">
        <v>33</v>
      </c>
      <c r="W14" t="s">
        <v>30</v>
      </c>
    </row>
    <row r="15" spans="1:24" x14ac:dyDescent="0.35">
      <c r="A15" s="15">
        <v>43852</v>
      </c>
      <c r="B15" t="s">
        <v>10</v>
      </c>
      <c r="C15" t="s">
        <v>11</v>
      </c>
      <c r="E15">
        <v>9.5</v>
      </c>
      <c r="F15" t="s">
        <v>18</v>
      </c>
      <c r="G15" s="5" t="s">
        <v>38</v>
      </c>
      <c r="H15">
        <v>6170</v>
      </c>
      <c r="I15" s="17">
        <v>37.900351391875503</v>
      </c>
      <c r="J15" s="16">
        <v>-122.578096698358</v>
      </c>
      <c r="K15" s="13">
        <f t="shared" si="0"/>
        <v>37.900351000000001</v>
      </c>
      <c r="L15" s="13">
        <f t="shared" si="1"/>
        <v>-122.578097</v>
      </c>
      <c r="M15" s="18" t="str">
        <f t="shared" si="2"/>
        <v>37.900351/-122.578097</v>
      </c>
      <c r="N15">
        <v>0.55000000000000004</v>
      </c>
      <c r="O15">
        <v>0.32</v>
      </c>
      <c r="P15" t="s">
        <v>23</v>
      </c>
      <c r="R15">
        <v>40</v>
      </c>
      <c r="S15">
        <v>40</v>
      </c>
      <c r="T15">
        <v>20</v>
      </c>
      <c r="V15" t="s">
        <v>33</v>
      </c>
      <c r="W15" t="s">
        <v>30</v>
      </c>
    </row>
    <row r="16" spans="1:24" x14ac:dyDescent="0.35">
      <c r="A16" s="15">
        <v>43852</v>
      </c>
      <c r="B16" t="s">
        <v>10</v>
      </c>
      <c r="C16" t="s">
        <v>11</v>
      </c>
      <c r="E16">
        <v>9.5</v>
      </c>
      <c r="F16" t="s">
        <v>18</v>
      </c>
      <c r="G16" s="5" t="s">
        <v>38</v>
      </c>
      <c r="H16">
        <v>6170</v>
      </c>
      <c r="I16" s="17">
        <v>37.9003469936928</v>
      </c>
      <c r="J16" s="16">
        <v>-122.57810116950201</v>
      </c>
      <c r="K16" s="13">
        <f t="shared" si="0"/>
        <v>37.900346999999996</v>
      </c>
      <c r="L16" s="13">
        <f t="shared" si="1"/>
        <v>-122.578101</v>
      </c>
      <c r="M16" s="13" t="str">
        <f t="shared" si="2"/>
        <v>37.900347/-122.578101</v>
      </c>
      <c r="N16">
        <v>0.6</v>
      </c>
      <c r="O16">
        <v>0.38</v>
      </c>
      <c r="P16" t="s">
        <v>22</v>
      </c>
      <c r="R16">
        <v>30</v>
      </c>
      <c r="S16">
        <v>50</v>
      </c>
      <c r="T16">
        <v>20</v>
      </c>
      <c r="V16" t="s">
        <v>33</v>
      </c>
      <c r="W16" t="s">
        <v>30</v>
      </c>
    </row>
    <row r="17" spans="1:24" x14ac:dyDescent="0.35">
      <c r="A17" s="15">
        <v>43852</v>
      </c>
      <c r="B17" t="s">
        <v>10</v>
      </c>
      <c r="C17" t="s">
        <v>11</v>
      </c>
      <c r="E17">
        <v>9.5</v>
      </c>
      <c r="F17" t="s">
        <v>18</v>
      </c>
      <c r="G17" s="5" t="s">
        <v>38</v>
      </c>
      <c r="H17">
        <v>6174</v>
      </c>
      <c r="I17" s="17">
        <v>37.900356120103503</v>
      </c>
      <c r="J17" s="16">
        <v>-122.57810982418999</v>
      </c>
      <c r="K17" s="13">
        <f t="shared" si="0"/>
        <v>37.900356000000002</v>
      </c>
      <c r="L17" s="13">
        <f t="shared" si="1"/>
        <v>-122.57811</v>
      </c>
      <c r="M17" s="13" t="str">
        <f t="shared" si="2"/>
        <v>37.900356/-122.57811</v>
      </c>
      <c r="N17">
        <v>0.5</v>
      </c>
      <c r="O17">
        <v>0.48</v>
      </c>
      <c r="P17" t="s">
        <v>23</v>
      </c>
      <c r="R17">
        <v>50</v>
      </c>
      <c r="S17">
        <v>25</v>
      </c>
      <c r="U17">
        <v>25</v>
      </c>
      <c r="V17" t="s">
        <v>33</v>
      </c>
      <c r="W17" t="s">
        <v>30</v>
      </c>
    </row>
    <row r="18" spans="1:24" x14ac:dyDescent="0.35">
      <c r="A18" s="15">
        <v>43852</v>
      </c>
      <c r="B18" t="s">
        <v>10</v>
      </c>
      <c r="C18" t="s">
        <v>11</v>
      </c>
      <c r="E18">
        <v>9.5</v>
      </c>
      <c r="F18" t="s">
        <v>19</v>
      </c>
      <c r="G18" s="5" t="s">
        <v>39</v>
      </c>
      <c r="H18">
        <v>6178</v>
      </c>
      <c r="I18" s="17">
        <v>37.900363058650697</v>
      </c>
      <c r="J18" s="16">
        <v>-122.578120452078</v>
      </c>
      <c r="K18" s="13">
        <f t="shared" si="0"/>
        <v>37.900362999999999</v>
      </c>
      <c r="L18" s="13">
        <f t="shared" si="1"/>
        <v>-122.57812</v>
      </c>
      <c r="M18" s="13" t="str">
        <f t="shared" si="2"/>
        <v>37.900363/-122.57812</v>
      </c>
      <c r="N18">
        <v>0.4</v>
      </c>
      <c r="O18">
        <v>0.63</v>
      </c>
      <c r="P18" t="s">
        <v>13</v>
      </c>
      <c r="R18">
        <v>50</v>
      </c>
      <c r="S18">
        <v>50</v>
      </c>
      <c r="V18" t="s">
        <v>33</v>
      </c>
      <c r="W18" t="s">
        <v>30</v>
      </c>
    </row>
    <row r="19" spans="1:24" x14ac:dyDescent="0.35">
      <c r="A19" s="15">
        <v>43852</v>
      </c>
      <c r="B19" t="s">
        <v>10</v>
      </c>
      <c r="C19" t="s">
        <v>11</v>
      </c>
      <c r="E19">
        <v>9.5</v>
      </c>
      <c r="F19" t="s">
        <v>19</v>
      </c>
      <c r="G19" s="5" t="s">
        <v>39</v>
      </c>
      <c r="H19">
        <v>6178</v>
      </c>
      <c r="I19" s="17">
        <v>37.900361066081501</v>
      </c>
      <c r="J19" s="16">
        <v>-122.578122416551</v>
      </c>
      <c r="K19" s="13">
        <f t="shared" si="0"/>
        <v>37.900360999999997</v>
      </c>
      <c r="L19" s="13">
        <f t="shared" si="1"/>
        <v>-122.57812199999999</v>
      </c>
      <c r="M19" s="13" t="str">
        <f t="shared" si="2"/>
        <v>37.900361/-122.578122</v>
      </c>
      <c r="N19">
        <v>0.4</v>
      </c>
      <c r="O19">
        <v>0.42</v>
      </c>
      <c r="P19" t="s">
        <v>13</v>
      </c>
      <c r="R19">
        <v>60</v>
      </c>
      <c r="S19">
        <v>40</v>
      </c>
      <c r="V19" t="s">
        <v>33</v>
      </c>
      <c r="W19" t="s">
        <v>30</v>
      </c>
    </row>
    <row r="20" spans="1:24" x14ac:dyDescent="0.35">
      <c r="A20" s="15">
        <v>43852</v>
      </c>
      <c r="B20" t="s">
        <v>10</v>
      </c>
      <c r="C20" t="s">
        <v>11</v>
      </c>
      <c r="E20">
        <v>9.5</v>
      </c>
      <c r="F20" t="s">
        <v>19</v>
      </c>
      <c r="G20" s="5" t="s">
        <v>39</v>
      </c>
      <c r="H20">
        <v>6181</v>
      </c>
      <c r="I20" s="17">
        <v>37.900367725227397</v>
      </c>
      <c r="J20" s="16">
        <v>-122.578127783268</v>
      </c>
      <c r="K20" s="13">
        <f t="shared" si="0"/>
        <v>37.900368</v>
      </c>
      <c r="L20" s="13">
        <f t="shared" si="1"/>
        <v>-122.57812800000001</v>
      </c>
      <c r="M20" s="18" t="str">
        <f t="shared" si="2"/>
        <v>37.900368/-122.578128</v>
      </c>
      <c r="N20">
        <v>0.4</v>
      </c>
      <c r="O20">
        <v>0.14000000000000001</v>
      </c>
      <c r="P20" t="s">
        <v>13</v>
      </c>
      <c r="R20">
        <v>50</v>
      </c>
      <c r="S20">
        <v>40</v>
      </c>
      <c r="T20">
        <v>10</v>
      </c>
      <c r="V20" t="s">
        <v>33</v>
      </c>
      <c r="W20" t="s">
        <v>30</v>
      </c>
    </row>
    <row r="21" spans="1:24" x14ac:dyDescent="0.35">
      <c r="A21" s="15">
        <v>43852</v>
      </c>
      <c r="B21" t="s">
        <v>10</v>
      </c>
      <c r="C21" t="s">
        <v>11</v>
      </c>
      <c r="E21">
        <v>9.5</v>
      </c>
      <c r="F21" t="s">
        <v>19</v>
      </c>
      <c r="G21" s="5" t="s">
        <v>39</v>
      </c>
      <c r="H21">
        <v>6183</v>
      </c>
      <c r="I21" s="17">
        <v>37.900371701073503</v>
      </c>
      <c r="J21" s="16">
        <v>-122.578134067745</v>
      </c>
      <c r="K21" s="13">
        <f t="shared" si="0"/>
        <v>37.900371999999997</v>
      </c>
      <c r="L21" s="13">
        <f t="shared" si="1"/>
        <v>-122.57813400000001</v>
      </c>
      <c r="M21" s="13" t="str">
        <f t="shared" si="2"/>
        <v>37.900372/-122.578134</v>
      </c>
      <c r="N21">
        <v>0.35</v>
      </c>
      <c r="O21">
        <v>0.77</v>
      </c>
      <c r="P21" t="s">
        <v>22</v>
      </c>
      <c r="R21">
        <v>25</v>
      </c>
      <c r="S21">
        <v>50</v>
      </c>
      <c r="T21">
        <v>15</v>
      </c>
      <c r="U21">
        <v>10</v>
      </c>
      <c r="V21" t="s">
        <v>33</v>
      </c>
      <c r="W21" t="s">
        <v>30</v>
      </c>
    </row>
    <row r="22" spans="1:24" x14ac:dyDescent="0.35">
      <c r="A22" s="15">
        <v>43852</v>
      </c>
      <c r="B22" t="s">
        <v>10</v>
      </c>
      <c r="C22" t="s">
        <v>11</v>
      </c>
      <c r="E22">
        <v>9.5</v>
      </c>
      <c r="F22" t="s">
        <v>20</v>
      </c>
      <c r="G22" s="5" t="s">
        <v>40</v>
      </c>
      <c r="H22">
        <v>6202</v>
      </c>
      <c r="I22" s="17">
        <v>37.900403544321598</v>
      </c>
      <c r="J22" s="16">
        <v>-122.57818668319599</v>
      </c>
      <c r="K22" s="13">
        <f t="shared" si="0"/>
        <v>37.900404000000002</v>
      </c>
      <c r="L22" s="13">
        <f t="shared" si="1"/>
        <v>-122.578187</v>
      </c>
      <c r="M22" s="13" t="str">
        <f t="shared" si="2"/>
        <v>37.900404/-122.578187</v>
      </c>
      <c r="N22">
        <v>0.2</v>
      </c>
      <c r="O22">
        <v>1.02</v>
      </c>
      <c r="P22" t="s">
        <v>22</v>
      </c>
      <c r="S22">
        <v>75</v>
      </c>
      <c r="T22">
        <v>25</v>
      </c>
      <c r="V22" t="s">
        <v>33</v>
      </c>
      <c r="W22" t="s">
        <v>30</v>
      </c>
      <c r="X22" t="s">
        <v>53</v>
      </c>
    </row>
    <row r="23" spans="1:24" x14ac:dyDescent="0.35">
      <c r="A23" s="15">
        <v>43852</v>
      </c>
      <c r="B23" t="s">
        <v>10</v>
      </c>
      <c r="C23" t="s">
        <v>11</v>
      </c>
      <c r="E23">
        <v>9.5</v>
      </c>
      <c r="F23" t="s">
        <v>20</v>
      </c>
      <c r="G23" s="5" t="s">
        <v>40</v>
      </c>
      <c r="H23">
        <v>6204</v>
      </c>
      <c r="I23" s="17">
        <v>37.9004060760006</v>
      </c>
      <c r="J23" s="16">
        <v>-122.578192258841</v>
      </c>
      <c r="K23" s="13">
        <f t="shared" si="0"/>
        <v>37.900405999999997</v>
      </c>
      <c r="L23" s="13">
        <f t="shared" si="1"/>
        <v>-122.578192</v>
      </c>
      <c r="M23" s="13" t="str">
        <f t="shared" si="2"/>
        <v>37.900406/-122.578192</v>
      </c>
      <c r="N23">
        <v>0.2</v>
      </c>
      <c r="O23">
        <v>0.35</v>
      </c>
      <c r="P23" t="s">
        <v>13</v>
      </c>
      <c r="R23">
        <v>50</v>
      </c>
      <c r="S23">
        <v>30</v>
      </c>
      <c r="T23">
        <v>20</v>
      </c>
      <c r="V23" t="s">
        <v>33</v>
      </c>
      <c r="W23" t="s">
        <v>30</v>
      </c>
    </row>
    <row r="24" spans="1:24" x14ac:dyDescent="0.35">
      <c r="A24" s="15">
        <v>43852</v>
      </c>
      <c r="B24" t="s">
        <v>10</v>
      </c>
      <c r="C24" t="s">
        <v>11</v>
      </c>
      <c r="E24">
        <v>9.5</v>
      </c>
      <c r="F24" t="s">
        <v>20</v>
      </c>
      <c r="G24" s="5" t="s">
        <v>40</v>
      </c>
      <c r="H24">
        <v>6206</v>
      </c>
      <c r="I24" s="17">
        <v>37.900408693605897</v>
      </c>
      <c r="J24" s="16">
        <v>-122.578197938739</v>
      </c>
      <c r="K24" s="13">
        <f t="shared" si="0"/>
        <v>37.900409000000003</v>
      </c>
      <c r="L24" s="13">
        <f t="shared" si="1"/>
        <v>-122.578198</v>
      </c>
      <c r="M24" s="18" t="str">
        <f t="shared" si="2"/>
        <v>37.900409/-122.578198</v>
      </c>
      <c r="N24">
        <v>0.3</v>
      </c>
      <c r="O24">
        <v>0.55000000000000004</v>
      </c>
      <c r="P24" t="s">
        <v>22</v>
      </c>
      <c r="R24">
        <v>20</v>
      </c>
      <c r="S24">
        <v>70</v>
      </c>
      <c r="T24">
        <v>10</v>
      </c>
      <c r="V24" t="s">
        <v>33</v>
      </c>
      <c r="W24" t="s">
        <v>30</v>
      </c>
    </row>
    <row r="25" spans="1:24" x14ac:dyDescent="0.35">
      <c r="A25" s="15">
        <v>43852</v>
      </c>
      <c r="B25" t="s">
        <v>10</v>
      </c>
      <c r="C25" t="s">
        <v>11</v>
      </c>
      <c r="E25">
        <v>9.5</v>
      </c>
      <c r="F25" t="s">
        <v>20</v>
      </c>
      <c r="G25" s="5" t="s">
        <v>40</v>
      </c>
      <c r="H25">
        <v>6209</v>
      </c>
      <c r="I25" s="17">
        <v>37.900412801818597</v>
      </c>
      <c r="J25" s="16">
        <v>-122.57820730517101</v>
      </c>
      <c r="K25" s="13">
        <f t="shared" si="0"/>
        <v>37.900413</v>
      </c>
      <c r="L25" s="13">
        <f t="shared" si="1"/>
        <v>-122.57820700000001</v>
      </c>
      <c r="M25" s="13" t="str">
        <f t="shared" si="2"/>
        <v>37.900413/-122.578207</v>
      </c>
      <c r="N25">
        <v>0.35</v>
      </c>
      <c r="O25">
        <v>1.71</v>
      </c>
      <c r="P25" t="s">
        <v>22</v>
      </c>
      <c r="S25">
        <v>80</v>
      </c>
      <c r="T25">
        <v>20</v>
      </c>
      <c r="V25" t="s">
        <v>33</v>
      </c>
      <c r="W25" t="s">
        <v>30</v>
      </c>
    </row>
    <row r="26" spans="1:24" x14ac:dyDescent="0.35">
      <c r="A26" s="15">
        <v>43853</v>
      </c>
      <c r="B26" t="s">
        <v>10</v>
      </c>
      <c r="C26" t="s">
        <v>11</v>
      </c>
      <c r="E26">
        <v>9.9</v>
      </c>
      <c r="F26" t="s">
        <v>24</v>
      </c>
      <c r="G26" s="5" t="s">
        <v>41</v>
      </c>
      <c r="H26">
        <v>7035</v>
      </c>
      <c r="I26" s="17">
        <v>37.901076176164203</v>
      </c>
      <c r="J26" s="16">
        <v>-122.580631184312</v>
      </c>
      <c r="K26" s="13">
        <f t="shared" si="0"/>
        <v>37.901076000000003</v>
      </c>
      <c r="L26" s="13">
        <f t="shared" si="1"/>
        <v>-122.580631</v>
      </c>
      <c r="M26" s="13" t="str">
        <f t="shared" si="2"/>
        <v>37.901076/-122.580631</v>
      </c>
      <c r="N26">
        <v>0.3</v>
      </c>
      <c r="O26">
        <v>0.23</v>
      </c>
      <c r="P26" t="s">
        <v>22</v>
      </c>
      <c r="R26">
        <v>25</v>
      </c>
      <c r="S26">
        <v>75</v>
      </c>
      <c r="V26" t="s">
        <v>33</v>
      </c>
      <c r="W26" t="s">
        <v>31</v>
      </c>
      <c r="X26" t="s">
        <v>54</v>
      </c>
    </row>
    <row r="27" spans="1:24" x14ac:dyDescent="0.35">
      <c r="A27" s="15">
        <v>43853</v>
      </c>
      <c r="B27" t="s">
        <v>10</v>
      </c>
      <c r="C27" t="s">
        <v>11</v>
      </c>
      <c r="E27">
        <v>9.9</v>
      </c>
      <c r="F27" t="s">
        <v>24</v>
      </c>
      <c r="G27" s="5" t="s">
        <v>41</v>
      </c>
      <c r="H27">
        <v>7045</v>
      </c>
      <c r="I27" s="17">
        <v>37.901102078294798</v>
      </c>
      <c r="J27" s="16">
        <v>-122.580643414714</v>
      </c>
      <c r="K27" s="13">
        <f t="shared" si="0"/>
        <v>37.901102000000002</v>
      </c>
      <c r="L27" s="13">
        <f t="shared" si="1"/>
        <v>-122.58064299999999</v>
      </c>
      <c r="M27" s="18" t="str">
        <f t="shared" si="2"/>
        <v>37.901102/-122.580643</v>
      </c>
      <c r="N27">
        <v>0.3</v>
      </c>
      <c r="O27">
        <v>0.85</v>
      </c>
      <c r="P27" t="s">
        <v>22</v>
      </c>
      <c r="R27">
        <v>20</v>
      </c>
      <c r="S27">
        <v>80</v>
      </c>
      <c r="V27" t="s">
        <v>33</v>
      </c>
      <c r="W27" t="s">
        <v>31</v>
      </c>
      <c r="X27" t="s">
        <v>55</v>
      </c>
    </row>
    <row r="28" spans="1:24" x14ac:dyDescent="0.35">
      <c r="A28" s="15">
        <v>43853</v>
      </c>
      <c r="B28" t="s">
        <v>10</v>
      </c>
      <c r="C28" t="s">
        <v>11</v>
      </c>
      <c r="E28">
        <v>9.9</v>
      </c>
      <c r="F28" t="s">
        <v>24</v>
      </c>
      <c r="G28" s="5" t="s">
        <v>41</v>
      </c>
      <c r="H28">
        <v>7046</v>
      </c>
      <c r="I28" s="17">
        <v>37.901104133853302</v>
      </c>
      <c r="J28" s="16">
        <v>-122.580645491486</v>
      </c>
      <c r="K28" s="13">
        <f t="shared" si="0"/>
        <v>37.901103999999997</v>
      </c>
      <c r="L28" s="13">
        <f t="shared" si="1"/>
        <v>-122.580645</v>
      </c>
      <c r="M28" s="13" t="str">
        <f t="shared" si="2"/>
        <v>37.901104/-122.580645</v>
      </c>
      <c r="N28">
        <v>0.4</v>
      </c>
      <c r="O28">
        <v>0.38</v>
      </c>
      <c r="P28" t="s">
        <v>22</v>
      </c>
      <c r="R28">
        <v>25</v>
      </c>
      <c r="S28">
        <v>75</v>
      </c>
      <c r="V28" t="s">
        <v>33</v>
      </c>
      <c r="W28" t="s">
        <v>31</v>
      </c>
    </row>
    <row r="29" spans="1:24" x14ac:dyDescent="0.35">
      <c r="A29" s="15">
        <v>43853</v>
      </c>
      <c r="B29" t="s">
        <v>10</v>
      </c>
      <c r="C29" t="s">
        <v>11</v>
      </c>
      <c r="E29">
        <v>9.9</v>
      </c>
      <c r="F29" t="s">
        <v>24</v>
      </c>
      <c r="G29" s="5" t="s">
        <v>41</v>
      </c>
      <c r="H29">
        <v>7048</v>
      </c>
      <c r="I29" s="17">
        <v>37.901108502743199</v>
      </c>
      <c r="J29" s="16">
        <v>-122.580649957803</v>
      </c>
      <c r="K29" s="13">
        <f t="shared" si="0"/>
        <v>37.901108999999998</v>
      </c>
      <c r="L29" s="13">
        <f t="shared" si="1"/>
        <v>-122.58065000000001</v>
      </c>
      <c r="M29" s="13" t="str">
        <f t="shared" si="2"/>
        <v>37.901109/-122.58065</v>
      </c>
      <c r="N29">
        <v>0.3</v>
      </c>
      <c r="O29">
        <v>0.37</v>
      </c>
      <c r="P29" t="s">
        <v>23</v>
      </c>
      <c r="R29">
        <v>50</v>
      </c>
      <c r="S29">
        <v>50</v>
      </c>
      <c r="V29" t="s">
        <v>33</v>
      </c>
      <c r="W29" t="s">
        <v>31</v>
      </c>
    </row>
    <row r="30" spans="1:24" x14ac:dyDescent="0.35">
      <c r="A30" s="15">
        <v>43853</v>
      </c>
      <c r="B30" t="s">
        <v>10</v>
      </c>
      <c r="C30" t="s">
        <v>11</v>
      </c>
      <c r="E30">
        <v>9.9</v>
      </c>
      <c r="F30" t="s">
        <v>25</v>
      </c>
      <c r="G30" s="5" t="s">
        <v>42</v>
      </c>
      <c r="H30">
        <v>7069</v>
      </c>
      <c r="I30" s="17">
        <v>37.901152730369503</v>
      </c>
      <c r="J30" s="16">
        <v>-122.580696735402</v>
      </c>
      <c r="K30" s="13">
        <f t="shared" si="0"/>
        <v>37.901153000000001</v>
      </c>
      <c r="L30" s="13">
        <f t="shared" si="1"/>
        <v>-122.580697</v>
      </c>
      <c r="M30" s="13" t="str">
        <f t="shared" si="2"/>
        <v>37.901153/-122.580697</v>
      </c>
      <c r="N30">
        <v>0.4</v>
      </c>
      <c r="O30">
        <v>0.67</v>
      </c>
      <c r="P30" t="s">
        <v>13</v>
      </c>
      <c r="R30">
        <v>50</v>
      </c>
      <c r="S30">
        <v>50</v>
      </c>
      <c r="V30" t="s">
        <v>33</v>
      </c>
      <c r="W30" t="s">
        <v>31</v>
      </c>
      <c r="X30" t="s">
        <v>56</v>
      </c>
    </row>
    <row r="31" spans="1:24" x14ac:dyDescent="0.35">
      <c r="A31" s="15">
        <v>43853</v>
      </c>
      <c r="B31" t="s">
        <v>10</v>
      </c>
      <c r="C31" t="s">
        <v>11</v>
      </c>
      <c r="E31">
        <v>9.9</v>
      </c>
      <c r="F31" t="s">
        <v>25</v>
      </c>
      <c r="G31" s="5" t="s">
        <v>42</v>
      </c>
      <c r="H31">
        <v>7072</v>
      </c>
      <c r="I31" s="17">
        <v>37.901158900355</v>
      </c>
      <c r="J31" s="16">
        <v>-122.580703178425</v>
      </c>
      <c r="K31" s="13">
        <f t="shared" si="0"/>
        <v>37.901159</v>
      </c>
      <c r="L31" s="13">
        <f t="shared" si="1"/>
        <v>-122.580703</v>
      </c>
      <c r="M31" s="13" t="str">
        <f t="shared" si="2"/>
        <v>37.901159/-122.580703</v>
      </c>
      <c r="N31">
        <v>0.35</v>
      </c>
      <c r="O31">
        <v>0.41</v>
      </c>
      <c r="P31" t="s">
        <v>22</v>
      </c>
      <c r="R31">
        <v>30</v>
      </c>
      <c r="S31">
        <v>70</v>
      </c>
      <c r="V31" t="s">
        <v>33</v>
      </c>
      <c r="W31" t="s">
        <v>31</v>
      </c>
    </row>
    <row r="32" spans="1:24" x14ac:dyDescent="0.35">
      <c r="A32" s="15">
        <v>43853</v>
      </c>
      <c r="B32" t="s">
        <v>10</v>
      </c>
      <c r="C32" t="s">
        <v>11</v>
      </c>
      <c r="E32">
        <v>9.9</v>
      </c>
      <c r="F32" t="s">
        <v>25</v>
      </c>
      <c r="G32" s="5" t="s">
        <v>42</v>
      </c>
      <c r="H32">
        <v>7077</v>
      </c>
      <c r="I32" s="17">
        <v>37.901169528464699</v>
      </c>
      <c r="J32" s="16">
        <v>-122.58071440472401</v>
      </c>
      <c r="K32" s="13">
        <f t="shared" si="0"/>
        <v>37.90117</v>
      </c>
      <c r="L32" s="13">
        <f t="shared" si="1"/>
        <v>-122.580714</v>
      </c>
      <c r="M32" s="18" t="str">
        <f t="shared" si="2"/>
        <v>37.90117/-122.580714</v>
      </c>
      <c r="N32">
        <v>0.4</v>
      </c>
      <c r="O32">
        <v>0.24</v>
      </c>
      <c r="P32" t="s">
        <v>22</v>
      </c>
      <c r="R32">
        <v>25</v>
      </c>
      <c r="S32">
        <v>75</v>
      </c>
      <c r="V32" t="s">
        <v>33</v>
      </c>
      <c r="W32" t="s">
        <v>31</v>
      </c>
    </row>
    <row r="33" spans="1:24" x14ac:dyDescent="0.35">
      <c r="A33" s="15">
        <v>43853</v>
      </c>
      <c r="B33" t="s">
        <v>10</v>
      </c>
      <c r="C33" t="s">
        <v>11</v>
      </c>
      <c r="E33">
        <v>9.9</v>
      </c>
      <c r="F33" t="s">
        <v>25</v>
      </c>
      <c r="G33" s="5" t="s">
        <v>42</v>
      </c>
      <c r="H33">
        <v>7085</v>
      </c>
      <c r="I33" s="17">
        <v>37.901186574391303</v>
      </c>
      <c r="J33" s="16">
        <v>-122.580731748741</v>
      </c>
      <c r="K33" s="13">
        <f t="shared" si="0"/>
        <v>37.901187</v>
      </c>
      <c r="L33" s="13">
        <f t="shared" si="1"/>
        <v>-122.580732</v>
      </c>
      <c r="M33" s="13" t="str">
        <f t="shared" si="2"/>
        <v>37.901187/-122.580732</v>
      </c>
      <c r="N33">
        <v>0.35</v>
      </c>
      <c r="O33">
        <v>0.63</v>
      </c>
      <c r="P33" t="s">
        <v>22</v>
      </c>
      <c r="R33">
        <v>30</v>
      </c>
      <c r="S33">
        <v>70</v>
      </c>
      <c r="V33" t="s">
        <v>33</v>
      </c>
      <c r="W33" t="s">
        <v>31</v>
      </c>
    </row>
    <row r="34" spans="1:24" x14ac:dyDescent="0.35">
      <c r="A34" s="15">
        <v>43853</v>
      </c>
      <c r="B34" t="s">
        <v>10</v>
      </c>
      <c r="C34" t="s">
        <v>11</v>
      </c>
      <c r="E34">
        <v>9.9</v>
      </c>
      <c r="F34" t="s">
        <v>27</v>
      </c>
      <c r="G34" s="5" t="s">
        <v>43</v>
      </c>
      <c r="H34">
        <v>7139</v>
      </c>
      <c r="I34" s="17">
        <v>37.901269727295201</v>
      </c>
      <c r="J34" s="16">
        <v>-122.580869161449</v>
      </c>
      <c r="K34" s="13">
        <f t="shared" si="0"/>
        <v>37.901269999999997</v>
      </c>
      <c r="L34" s="13">
        <f t="shared" si="1"/>
        <v>-122.58086900000001</v>
      </c>
      <c r="M34" s="13" t="str">
        <f t="shared" si="2"/>
        <v>37.90127/-122.580869</v>
      </c>
      <c r="N34">
        <v>0.2</v>
      </c>
      <c r="O34">
        <v>0.56999999999999995</v>
      </c>
      <c r="P34" t="s">
        <v>22</v>
      </c>
      <c r="R34">
        <v>25</v>
      </c>
      <c r="S34">
        <v>70</v>
      </c>
      <c r="T34">
        <v>5</v>
      </c>
      <c r="V34" t="s">
        <v>33</v>
      </c>
      <c r="W34" t="s">
        <v>31</v>
      </c>
      <c r="X34" t="s">
        <v>57</v>
      </c>
    </row>
    <row r="35" spans="1:24" x14ac:dyDescent="0.35">
      <c r="A35" s="15">
        <v>43853</v>
      </c>
      <c r="B35" t="s">
        <v>10</v>
      </c>
      <c r="C35" t="s">
        <v>11</v>
      </c>
      <c r="E35">
        <v>9.9</v>
      </c>
      <c r="F35" t="s">
        <v>27</v>
      </c>
      <c r="G35" s="5" t="s">
        <v>43</v>
      </c>
      <c r="H35">
        <v>7159</v>
      </c>
      <c r="I35" s="17">
        <v>37.9012708038792</v>
      </c>
      <c r="J35" s="16">
        <v>-122.58093828735799</v>
      </c>
      <c r="K35" s="13">
        <f t="shared" si="0"/>
        <v>37.901271000000001</v>
      </c>
      <c r="L35" s="13">
        <f t="shared" si="1"/>
        <v>-122.580938</v>
      </c>
      <c r="M35" s="18" t="str">
        <f t="shared" si="2"/>
        <v>37.901271/-122.580938</v>
      </c>
      <c r="N35">
        <v>0.25</v>
      </c>
      <c r="O35">
        <v>0.81</v>
      </c>
      <c r="P35" t="s">
        <v>22</v>
      </c>
      <c r="R35">
        <v>20</v>
      </c>
      <c r="S35">
        <v>75</v>
      </c>
      <c r="T35">
        <v>5</v>
      </c>
      <c r="V35" t="s">
        <v>33</v>
      </c>
      <c r="W35" t="s">
        <v>31</v>
      </c>
    </row>
    <row r="36" spans="1:24" x14ac:dyDescent="0.35">
      <c r="A36" s="15">
        <v>43853</v>
      </c>
      <c r="B36" t="s">
        <v>10</v>
      </c>
      <c r="C36" t="s">
        <v>11</v>
      </c>
      <c r="E36">
        <v>9.9</v>
      </c>
      <c r="F36" t="s">
        <v>27</v>
      </c>
      <c r="G36" s="5" t="s">
        <v>43</v>
      </c>
      <c r="H36">
        <v>7184</v>
      </c>
      <c r="I36" s="17">
        <v>37.901259574597297</v>
      </c>
      <c r="J36" s="16">
        <v>-122.581023783178</v>
      </c>
      <c r="K36" s="13">
        <f t="shared" si="0"/>
        <v>37.901260000000001</v>
      </c>
      <c r="L36" s="13">
        <f t="shared" si="1"/>
        <v>-122.581024</v>
      </c>
      <c r="M36" s="13" t="str">
        <f t="shared" si="2"/>
        <v>37.90126/-122.581024</v>
      </c>
      <c r="N36">
        <v>0.4</v>
      </c>
      <c r="O36">
        <v>0.73</v>
      </c>
      <c r="P36" t="s">
        <v>13</v>
      </c>
      <c r="R36">
        <v>50</v>
      </c>
      <c r="S36">
        <v>40</v>
      </c>
      <c r="T36">
        <v>10</v>
      </c>
      <c r="V36" t="s">
        <v>33</v>
      </c>
      <c r="W36" t="s">
        <v>31</v>
      </c>
    </row>
    <row r="37" spans="1:24" x14ac:dyDescent="0.35">
      <c r="A37" s="15">
        <v>43853</v>
      </c>
      <c r="B37" t="s">
        <v>10</v>
      </c>
      <c r="C37" t="s">
        <v>11</v>
      </c>
      <c r="E37">
        <v>9.9</v>
      </c>
      <c r="F37" t="s">
        <v>27</v>
      </c>
      <c r="G37" s="5" t="s">
        <v>43</v>
      </c>
      <c r="H37">
        <v>7188</v>
      </c>
      <c r="I37" s="17">
        <v>37.901257427087302</v>
      </c>
      <c r="J37" s="16">
        <v>-122.581037454186</v>
      </c>
      <c r="K37" s="13">
        <f t="shared" si="0"/>
        <v>37.901257000000001</v>
      </c>
      <c r="L37" s="13">
        <f t="shared" si="1"/>
        <v>-122.58103699999999</v>
      </c>
      <c r="M37" s="13" t="str">
        <f t="shared" si="2"/>
        <v>37.901257/-122.581037</v>
      </c>
      <c r="N37">
        <v>0.5</v>
      </c>
      <c r="O37">
        <v>0.62</v>
      </c>
      <c r="P37" t="s">
        <v>22</v>
      </c>
      <c r="R37">
        <v>30</v>
      </c>
      <c r="S37">
        <v>60</v>
      </c>
      <c r="T37">
        <v>10</v>
      </c>
      <c r="V37" t="s">
        <v>33</v>
      </c>
      <c r="W37" t="s">
        <v>31</v>
      </c>
    </row>
    <row r="38" spans="1:24" x14ac:dyDescent="0.35">
      <c r="A38" s="15">
        <v>44028</v>
      </c>
      <c r="B38" t="s">
        <v>10</v>
      </c>
      <c r="D38">
        <v>14.2</v>
      </c>
      <c r="E38">
        <v>13</v>
      </c>
      <c r="F38" t="s">
        <v>12</v>
      </c>
      <c r="G38" s="23"/>
      <c r="H38">
        <v>6033</v>
      </c>
      <c r="I38" s="23"/>
      <c r="J38" s="23"/>
      <c r="K38" s="24"/>
      <c r="L38" s="24"/>
      <c r="M38" s="24"/>
      <c r="N38">
        <v>0.3</v>
      </c>
      <c r="O38">
        <v>0.46</v>
      </c>
      <c r="P38" t="s">
        <v>23</v>
      </c>
      <c r="R38">
        <v>40</v>
      </c>
      <c r="S38">
        <v>60</v>
      </c>
      <c r="V38" t="s">
        <v>33</v>
      </c>
      <c r="W38" t="s">
        <v>44</v>
      </c>
    </row>
    <row r="39" spans="1:24" x14ac:dyDescent="0.35">
      <c r="A39" s="15">
        <v>44028</v>
      </c>
      <c r="B39" t="s">
        <v>10</v>
      </c>
      <c r="D39">
        <v>14.2</v>
      </c>
      <c r="E39">
        <v>13</v>
      </c>
      <c r="F39" t="s">
        <v>12</v>
      </c>
      <c r="G39" s="23"/>
      <c r="H39">
        <v>6035</v>
      </c>
      <c r="I39" s="23"/>
      <c r="J39" s="23"/>
      <c r="K39" s="24"/>
      <c r="L39" s="24"/>
      <c r="M39" s="24"/>
      <c r="N39">
        <v>0.25</v>
      </c>
      <c r="O39">
        <v>0.66</v>
      </c>
      <c r="P39" t="s">
        <v>23</v>
      </c>
      <c r="R39">
        <v>55</v>
      </c>
      <c r="S39">
        <v>45</v>
      </c>
      <c r="V39" t="s">
        <v>33</v>
      </c>
      <c r="W39" t="s">
        <v>44</v>
      </c>
    </row>
    <row r="40" spans="1:24" x14ac:dyDescent="0.35">
      <c r="A40" s="15">
        <v>44028</v>
      </c>
      <c r="B40" t="s">
        <v>10</v>
      </c>
      <c r="D40">
        <v>14.2</v>
      </c>
      <c r="E40">
        <v>13</v>
      </c>
      <c r="F40" t="s">
        <v>12</v>
      </c>
      <c r="G40" s="23"/>
      <c r="H40">
        <v>6038</v>
      </c>
      <c r="I40" s="23"/>
      <c r="J40" s="23"/>
      <c r="K40" s="24"/>
      <c r="L40" s="24"/>
      <c r="M40" s="24"/>
      <c r="N40">
        <v>0.25</v>
      </c>
      <c r="O40">
        <v>0.59</v>
      </c>
      <c r="P40" t="s">
        <v>21</v>
      </c>
      <c r="R40">
        <v>50</v>
      </c>
      <c r="S40">
        <v>50</v>
      </c>
      <c r="V40" t="s">
        <v>33</v>
      </c>
      <c r="W40" t="s">
        <v>44</v>
      </c>
    </row>
    <row r="41" spans="1:24" x14ac:dyDescent="0.35">
      <c r="A41" s="15">
        <v>44028</v>
      </c>
      <c r="B41" t="s">
        <v>10</v>
      </c>
      <c r="D41">
        <v>14.2</v>
      </c>
      <c r="E41">
        <v>13</v>
      </c>
      <c r="F41" t="s">
        <v>12</v>
      </c>
      <c r="G41" s="23"/>
      <c r="H41">
        <v>6038</v>
      </c>
      <c r="I41" s="23"/>
      <c r="J41" s="23"/>
      <c r="K41" s="24"/>
      <c r="L41" s="24"/>
      <c r="M41" s="24"/>
      <c r="N41">
        <v>0.25</v>
      </c>
      <c r="O41">
        <v>0.22</v>
      </c>
      <c r="P41" t="s">
        <v>23</v>
      </c>
      <c r="R41">
        <v>60</v>
      </c>
      <c r="S41">
        <v>40</v>
      </c>
      <c r="V41" t="s">
        <v>33</v>
      </c>
      <c r="W41" t="s">
        <v>44</v>
      </c>
    </row>
    <row r="42" spans="1:24" x14ac:dyDescent="0.35">
      <c r="A42" s="15">
        <v>44028</v>
      </c>
      <c r="B42" t="s">
        <v>10</v>
      </c>
      <c r="D42">
        <v>14.2</v>
      </c>
      <c r="E42">
        <v>13</v>
      </c>
      <c r="F42" t="s">
        <v>14</v>
      </c>
      <c r="G42" s="23"/>
      <c r="H42">
        <v>6059</v>
      </c>
      <c r="I42" s="23"/>
      <c r="J42" s="23"/>
      <c r="K42" s="24"/>
      <c r="L42" s="24"/>
      <c r="M42" s="24"/>
      <c r="N42">
        <v>0.2</v>
      </c>
      <c r="O42">
        <v>0.21</v>
      </c>
      <c r="R42">
        <v>50</v>
      </c>
      <c r="S42">
        <v>50</v>
      </c>
      <c r="V42" t="s">
        <v>33</v>
      </c>
      <c r="W42" t="s">
        <v>44</v>
      </c>
    </row>
    <row r="43" spans="1:24" x14ac:dyDescent="0.35">
      <c r="A43" s="15">
        <v>44028</v>
      </c>
      <c r="B43" t="s">
        <v>10</v>
      </c>
      <c r="D43">
        <v>14.2</v>
      </c>
      <c r="E43">
        <v>13</v>
      </c>
      <c r="F43" t="s">
        <v>14</v>
      </c>
      <c r="G43" s="23"/>
      <c r="H43">
        <v>6064</v>
      </c>
      <c r="I43" s="23"/>
      <c r="J43" s="23"/>
      <c r="K43" s="24"/>
      <c r="L43" s="24"/>
      <c r="M43" s="24"/>
      <c r="N43">
        <v>0.25</v>
      </c>
      <c r="O43">
        <v>0.4</v>
      </c>
      <c r="P43" t="s">
        <v>23</v>
      </c>
      <c r="R43">
        <v>50</v>
      </c>
      <c r="S43">
        <v>50</v>
      </c>
      <c r="V43" t="s">
        <v>33</v>
      </c>
      <c r="W43" t="s">
        <v>44</v>
      </c>
    </row>
    <row r="44" spans="1:24" x14ac:dyDescent="0.35">
      <c r="A44" s="15">
        <v>44028</v>
      </c>
      <c r="B44" t="s">
        <v>10</v>
      </c>
      <c r="D44">
        <v>14.2</v>
      </c>
      <c r="E44">
        <v>13</v>
      </c>
      <c r="F44" t="s">
        <v>14</v>
      </c>
      <c r="G44" s="23"/>
      <c r="H44">
        <v>6069</v>
      </c>
      <c r="I44" s="23"/>
      <c r="J44" s="23"/>
      <c r="K44" s="24"/>
      <c r="L44" s="24"/>
      <c r="M44" s="24"/>
      <c r="N44">
        <v>0.3</v>
      </c>
      <c r="O44">
        <v>0.22</v>
      </c>
      <c r="P44" t="s">
        <v>23</v>
      </c>
      <c r="R44">
        <v>40</v>
      </c>
      <c r="S44">
        <v>60</v>
      </c>
      <c r="V44" t="s">
        <v>33</v>
      </c>
      <c r="W44" t="s">
        <v>44</v>
      </c>
    </row>
    <row r="45" spans="1:24" x14ac:dyDescent="0.35">
      <c r="A45" s="15">
        <v>44028</v>
      </c>
      <c r="B45" t="s">
        <v>10</v>
      </c>
      <c r="D45">
        <v>14.2</v>
      </c>
      <c r="E45">
        <v>13</v>
      </c>
      <c r="F45" t="s">
        <v>14</v>
      </c>
      <c r="G45" s="23"/>
      <c r="H45">
        <v>6074</v>
      </c>
      <c r="I45" s="23"/>
      <c r="J45" s="23"/>
      <c r="K45" s="24"/>
      <c r="L45" s="24"/>
      <c r="M45" s="24"/>
      <c r="N45">
        <v>0.25</v>
      </c>
      <c r="O45">
        <v>0.41</v>
      </c>
      <c r="R45">
        <v>60</v>
      </c>
      <c r="S45">
        <v>40</v>
      </c>
      <c r="V45" t="s">
        <v>33</v>
      </c>
      <c r="W45" t="s">
        <v>44</v>
      </c>
    </row>
    <row r="46" spans="1:24" x14ac:dyDescent="0.35">
      <c r="A46" s="15">
        <v>44028</v>
      </c>
      <c r="B46" t="s">
        <v>10</v>
      </c>
      <c r="D46">
        <v>14.2</v>
      </c>
      <c r="E46">
        <v>13</v>
      </c>
      <c r="F46" t="s">
        <v>15</v>
      </c>
      <c r="G46" s="23"/>
      <c r="H46">
        <v>6078</v>
      </c>
      <c r="I46" s="23"/>
      <c r="J46" s="23"/>
      <c r="K46" s="24"/>
      <c r="L46" s="24"/>
      <c r="M46" s="24"/>
      <c r="N46">
        <v>0.3</v>
      </c>
      <c r="O46">
        <v>0.31</v>
      </c>
      <c r="P46" t="s">
        <v>21</v>
      </c>
      <c r="R46">
        <v>40</v>
      </c>
      <c r="S46">
        <v>60</v>
      </c>
      <c r="V46" t="s">
        <v>33</v>
      </c>
      <c r="W46" t="s">
        <v>44</v>
      </c>
    </row>
    <row r="47" spans="1:24" x14ac:dyDescent="0.35">
      <c r="A47" s="15">
        <v>44028</v>
      </c>
      <c r="B47" t="s">
        <v>10</v>
      </c>
      <c r="D47">
        <v>14.2</v>
      </c>
      <c r="E47">
        <v>13</v>
      </c>
      <c r="F47" t="s">
        <v>15</v>
      </c>
      <c r="G47" s="23"/>
      <c r="H47">
        <v>6084</v>
      </c>
      <c r="I47" s="23"/>
      <c r="J47" s="23"/>
      <c r="K47" s="24"/>
      <c r="L47" s="24"/>
      <c r="M47" s="24"/>
      <c r="N47">
        <v>0.25</v>
      </c>
      <c r="O47">
        <v>0.39</v>
      </c>
      <c r="P47" t="s">
        <v>21</v>
      </c>
      <c r="R47">
        <v>60</v>
      </c>
      <c r="S47">
        <v>40</v>
      </c>
      <c r="V47" t="s">
        <v>33</v>
      </c>
      <c r="W47" t="s">
        <v>44</v>
      </c>
    </row>
    <row r="48" spans="1:24" x14ac:dyDescent="0.35">
      <c r="A48" s="15">
        <v>44028</v>
      </c>
      <c r="B48" t="s">
        <v>10</v>
      </c>
      <c r="D48">
        <v>14.2</v>
      </c>
      <c r="E48">
        <v>13</v>
      </c>
      <c r="F48" t="s">
        <v>15</v>
      </c>
      <c r="G48" s="23"/>
      <c r="H48">
        <v>6089</v>
      </c>
      <c r="I48" s="23"/>
      <c r="J48" s="23"/>
      <c r="K48" s="24"/>
      <c r="L48" s="24"/>
      <c r="M48" s="24"/>
      <c r="N48">
        <v>0.25</v>
      </c>
      <c r="O48">
        <v>0.16</v>
      </c>
      <c r="P48" t="s">
        <v>23</v>
      </c>
      <c r="R48">
        <v>60</v>
      </c>
      <c r="S48">
        <v>40</v>
      </c>
      <c r="V48" t="s">
        <v>33</v>
      </c>
      <c r="W48" t="s">
        <v>44</v>
      </c>
    </row>
    <row r="49" spans="1:24" x14ac:dyDescent="0.35">
      <c r="A49" s="15">
        <v>44028</v>
      </c>
      <c r="B49" t="s">
        <v>10</v>
      </c>
      <c r="D49">
        <v>14.2</v>
      </c>
      <c r="E49">
        <v>13</v>
      </c>
      <c r="F49" t="s">
        <v>15</v>
      </c>
      <c r="G49" s="23"/>
      <c r="H49">
        <v>6101</v>
      </c>
      <c r="I49" s="23"/>
      <c r="J49" s="23"/>
      <c r="K49" s="24"/>
      <c r="L49" s="24"/>
      <c r="M49" s="24"/>
      <c r="N49">
        <v>0.25</v>
      </c>
      <c r="O49">
        <v>0.37</v>
      </c>
      <c r="P49" t="s">
        <v>23</v>
      </c>
      <c r="R49">
        <v>60</v>
      </c>
      <c r="S49">
        <v>40</v>
      </c>
      <c r="V49" t="s">
        <v>33</v>
      </c>
      <c r="W49" t="s">
        <v>44</v>
      </c>
    </row>
    <row r="50" spans="1:24" x14ac:dyDescent="0.35">
      <c r="A50" s="15">
        <v>44028</v>
      </c>
      <c r="B50" t="s">
        <v>10</v>
      </c>
      <c r="D50">
        <v>16.7</v>
      </c>
      <c r="E50">
        <v>14.1</v>
      </c>
      <c r="F50" t="s">
        <v>18</v>
      </c>
      <c r="G50" s="23"/>
      <c r="H50">
        <v>6166</v>
      </c>
      <c r="I50" s="23"/>
      <c r="J50" s="23"/>
      <c r="K50" s="24"/>
      <c r="L50" s="24"/>
      <c r="M50" s="24"/>
      <c r="N50">
        <v>0.4</v>
      </c>
      <c r="O50">
        <v>0.87</v>
      </c>
      <c r="P50" t="s">
        <v>23</v>
      </c>
      <c r="R50">
        <v>50</v>
      </c>
      <c r="S50">
        <v>50</v>
      </c>
      <c r="V50" t="s">
        <v>33</v>
      </c>
      <c r="W50" t="s">
        <v>30</v>
      </c>
    </row>
    <row r="51" spans="1:24" x14ac:dyDescent="0.35">
      <c r="A51" s="15">
        <v>44028</v>
      </c>
      <c r="B51" t="s">
        <v>10</v>
      </c>
      <c r="D51">
        <v>16.7</v>
      </c>
      <c r="E51">
        <v>14.1</v>
      </c>
      <c r="F51" t="s">
        <v>18</v>
      </c>
      <c r="G51" s="23"/>
      <c r="H51">
        <v>6166</v>
      </c>
      <c r="I51" s="23"/>
      <c r="J51" s="23"/>
      <c r="K51" s="24"/>
      <c r="L51" s="24"/>
      <c r="M51" s="24"/>
      <c r="N51">
        <v>0.25</v>
      </c>
      <c r="O51">
        <v>0.44</v>
      </c>
      <c r="P51" t="s">
        <v>23</v>
      </c>
      <c r="R51">
        <v>30</v>
      </c>
      <c r="S51">
        <v>70</v>
      </c>
      <c r="V51" t="s">
        <v>33</v>
      </c>
      <c r="W51" t="s">
        <v>30</v>
      </c>
    </row>
    <row r="52" spans="1:24" x14ac:dyDescent="0.35">
      <c r="A52" s="15">
        <v>44028</v>
      </c>
      <c r="B52" t="s">
        <v>10</v>
      </c>
      <c r="D52">
        <v>16.7</v>
      </c>
      <c r="E52">
        <v>14.1</v>
      </c>
      <c r="F52" t="s">
        <v>18</v>
      </c>
      <c r="G52" s="23"/>
      <c r="H52">
        <v>6169</v>
      </c>
      <c r="I52" s="23"/>
      <c r="J52" s="23"/>
      <c r="K52" s="24"/>
      <c r="L52" s="24"/>
      <c r="M52" s="24"/>
      <c r="N52">
        <v>0.25</v>
      </c>
      <c r="O52">
        <v>0.83</v>
      </c>
      <c r="P52" t="s">
        <v>23</v>
      </c>
      <c r="R52">
        <v>50</v>
      </c>
      <c r="S52">
        <v>50</v>
      </c>
      <c r="V52" t="s">
        <v>33</v>
      </c>
      <c r="W52" t="s">
        <v>30</v>
      </c>
    </row>
    <row r="53" spans="1:24" x14ac:dyDescent="0.35">
      <c r="A53" s="15">
        <v>44028</v>
      </c>
      <c r="B53" t="s">
        <v>10</v>
      </c>
      <c r="D53">
        <v>16.7</v>
      </c>
      <c r="E53">
        <v>14.1</v>
      </c>
      <c r="F53" t="s">
        <v>18</v>
      </c>
      <c r="G53" s="23"/>
      <c r="H53">
        <v>6172</v>
      </c>
      <c r="I53" s="23"/>
      <c r="J53" s="23"/>
      <c r="K53" s="24"/>
      <c r="L53" s="24"/>
      <c r="M53" s="24"/>
      <c r="N53">
        <v>0.3</v>
      </c>
      <c r="O53">
        <v>0.55000000000000004</v>
      </c>
      <c r="P53" t="s">
        <v>23</v>
      </c>
      <c r="R53">
        <v>50</v>
      </c>
      <c r="S53">
        <v>50</v>
      </c>
      <c r="V53" t="s">
        <v>33</v>
      </c>
      <c r="W53" t="s">
        <v>30</v>
      </c>
    </row>
    <row r="54" spans="1:24" x14ac:dyDescent="0.35">
      <c r="A54" s="15">
        <v>44028</v>
      </c>
      <c r="B54" t="s">
        <v>10</v>
      </c>
      <c r="D54">
        <v>16.7</v>
      </c>
      <c r="E54">
        <v>14.1</v>
      </c>
      <c r="F54" t="s">
        <v>19</v>
      </c>
      <c r="G54" s="23"/>
      <c r="H54">
        <v>6182</v>
      </c>
      <c r="I54" s="23"/>
      <c r="J54" s="23"/>
      <c r="K54" s="24"/>
      <c r="L54" s="24"/>
      <c r="M54" s="24"/>
      <c r="N54">
        <v>0.25</v>
      </c>
      <c r="O54">
        <v>0.19</v>
      </c>
      <c r="P54" t="s">
        <v>23</v>
      </c>
      <c r="R54">
        <v>50</v>
      </c>
      <c r="S54">
        <v>50</v>
      </c>
      <c r="V54" t="s">
        <v>33</v>
      </c>
      <c r="W54" t="s">
        <v>30</v>
      </c>
    </row>
    <row r="55" spans="1:24" x14ac:dyDescent="0.35">
      <c r="A55" s="15">
        <v>44028</v>
      </c>
      <c r="B55" t="s">
        <v>10</v>
      </c>
      <c r="D55">
        <v>16.7</v>
      </c>
      <c r="E55">
        <v>14.1</v>
      </c>
      <c r="F55" t="s">
        <v>19</v>
      </c>
      <c r="G55" s="23"/>
      <c r="H55">
        <v>6183</v>
      </c>
      <c r="I55" s="23"/>
      <c r="J55" s="23"/>
      <c r="K55" s="24"/>
      <c r="L55" s="24"/>
      <c r="M55" s="24"/>
      <c r="N55">
        <v>0.2</v>
      </c>
      <c r="O55">
        <v>0.4</v>
      </c>
      <c r="P55" t="s">
        <v>23</v>
      </c>
      <c r="R55">
        <v>30</v>
      </c>
      <c r="S55">
        <v>70</v>
      </c>
      <c r="V55" t="s">
        <v>33</v>
      </c>
      <c r="W55" t="s">
        <v>30</v>
      </c>
    </row>
    <row r="56" spans="1:24" x14ac:dyDescent="0.35">
      <c r="A56" s="15">
        <v>44028</v>
      </c>
      <c r="B56" t="s">
        <v>10</v>
      </c>
      <c r="D56">
        <v>16.7</v>
      </c>
      <c r="E56">
        <v>14.1</v>
      </c>
      <c r="F56" t="s">
        <v>19</v>
      </c>
      <c r="G56" s="23"/>
      <c r="H56">
        <v>6185</v>
      </c>
      <c r="I56" s="23"/>
      <c r="J56" s="23"/>
      <c r="K56" s="24"/>
      <c r="L56" s="24"/>
      <c r="M56" s="24"/>
      <c r="N56">
        <v>0.3</v>
      </c>
      <c r="O56">
        <v>0.65</v>
      </c>
      <c r="P56" t="s">
        <v>21</v>
      </c>
      <c r="R56">
        <v>60</v>
      </c>
      <c r="S56">
        <v>40</v>
      </c>
      <c r="V56" t="s">
        <v>33</v>
      </c>
      <c r="W56" t="s">
        <v>30</v>
      </c>
    </row>
    <row r="57" spans="1:24" x14ac:dyDescent="0.35">
      <c r="A57" s="15">
        <v>44028</v>
      </c>
      <c r="B57" t="s">
        <v>10</v>
      </c>
      <c r="D57">
        <v>16.7</v>
      </c>
      <c r="E57">
        <v>14.1</v>
      </c>
      <c r="F57" t="s">
        <v>19</v>
      </c>
      <c r="G57" s="23"/>
      <c r="H57">
        <v>6199</v>
      </c>
      <c r="I57" s="23"/>
      <c r="J57" s="23"/>
      <c r="K57" s="24"/>
      <c r="L57" s="24"/>
      <c r="M57" s="24"/>
      <c r="N57">
        <v>0.25</v>
      </c>
      <c r="O57">
        <v>0.24</v>
      </c>
      <c r="P57" t="s">
        <v>21</v>
      </c>
      <c r="R57">
        <v>40</v>
      </c>
      <c r="S57">
        <v>60</v>
      </c>
      <c r="V57" t="s">
        <v>33</v>
      </c>
      <c r="W57" t="s">
        <v>30</v>
      </c>
    </row>
    <row r="58" spans="1:24" x14ac:dyDescent="0.35">
      <c r="A58" s="15">
        <v>44028</v>
      </c>
      <c r="B58" t="s">
        <v>10</v>
      </c>
      <c r="D58">
        <v>16.7</v>
      </c>
      <c r="E58">
        <v>14.1</v>
      </c>
      <c r="F58" t="s">
        <v>20</v>
      </c>
      <c r="G58" s="23"/>
      <c r="H58">
        <v>6204</v>
      </c>
      <c r="I58" s="23"/>
      <c r="J58" s="23"/>
      <c r="K58" s="24"/>
      <c r="L58" s="24"/>
      <c r="M58" s="24"/>
      <c r="N58">
        <v>0.4</v>
      </c>
      <c r="O58">
        <v>0.71</v>
      </c>
      <c r="P58" t="s">
        <v>23</v>
      </c>
      <c r="R58">
        <v>50</v>
      </c>
      <c r="S58">
        <v>50</v>
      </c>
      <c r="V58" t="s">
        <v>33</v>
      </c>
      <c r="W58" t="s">
        <v>30</v>
      </c>
      <c r="X58" t="s">
        <v>84</v>
      </c>
    </row>
    <row r="59" spans="1:24" x14ac:dyDescent="0.35">
      <c r="A59" s="15">
        <v>44028</v>
      </c>
      <c r="B59" t="s">
        <v>10</v>
      </c>
      <c r="D59">
        <v>16.7</v>
      </c>
      <c r="E59">
        <v>14.1</v>
      </c>
      <c r="F59" t="s">
        <v>20</v>
      </c>
      <c r="G59" s="23"/>
      <c r="H59">
        <v>6209</v>
      </c>
      <c r="I59" s="23"/>
      <c r="J59" s="23"/>
      <c r="K59" s="24"/>
      <c r="L59" s="24"/>
      <c r="M59" s="24"/>
      <c r="N59">
        <v>0.4</v>
      </c>
      <c r="O59">
        <v>0.41</v>
      </c>
      <c r="P59" t="s">
        <v>21</v>
      </c>
      <c r="R59">
        <v>50</v>
      </c>
      <c r="S59">
        <v>50</v>
      </c>
      <c r="V59" t="s">
        <v>33</v>
      </c>
      <c r="W59" t="s">
        <v>30</v>
      </c>
      <c r="X59" t="s">
        <v>84</v>
      </c>
    </row>
    <row r="60" spans="1:24" x14ac:dyDescent="0.35">
      <c r="A60" s="15">
        <v>44028</v>
      </c>
      <c r="B60" t="s">
        <v>10</v>
      </c>
      <c r="D60">
        <v>16.7</v>
      </c>
      <c r="E60">
        <v>14.1</v>
      </c>
      <c r="F60" t="s">
        <v>20</v>
      </c>
      <c r="G60" s="23"/>
      <c r="H60">
        <v>6227</v>
      </c>
      <c r="I60" s="23"/>
      <c r="J60" s="23"/>
      <c r="K60" s="24"/>
      <c r="L60" s="24"/>
      <c r="M60" s="24"/>
      <c r="N60">
        <v>0.35</v>
      </c>
      <c r="O60">
        <v>0.51</v>
      </c>
      <c r="P60" t="s">
        <v>21</v>
      </c>
      <c r="R60">
        <v>50</v>
      </c>
      <c r="S60">
        <v>50</v>
      </c>
      <c r="V60" t="s">
        <v>33</v>
      </c>
      <c r="W60" t="s">
        <v>30</v>
      </c>
    </row>
    <row r="61" spans="1:24" x14ac:dyDescent="0.35">
      <c r="A61" s="15">
        <v>44028</v>
      </c>
      <c r="B61" t="s">
        <v>10</v>
      </c>
      <c r="D61">
        <v>16.7</v>
      </c>
      <c r="E61">
        <v>14.1</v>
      </c>
      <c r="F61" t="s">
        <v>20</v>
      </c>
      <c r="G61" s="23"/>
      <c r="H61">
        <v>6227</v>
      </c>
      <c r="I61" s="23"/>
      <c r="J61" s="23"/>
      <c r="K61" s="24"/>
      <c r="L61" s="24"/>
      <c r="M61" s="24"/>
      <c r="N61">
        <v>0.35</v>
      </c>
      <c r="O61">
        <v>0.4</v>
      </c>
      <c r="P61" t="s">
        <v>23</v>
      </c>
      <c r="R61">
        <v>60</v>
      </c>
      <c r="S61">
        <v>40</v>
      </c>
      <c r="V61" t="s">
        <v>33</v>
      </c>
      <c r="W61" t="s">
        <v>30</v>
      </c>
      <c r="X61" t="s">
        <v>85</v>
      </c>
    </row>
    <row r="62" spans="1:24" x14ac:dyDescent="0.35">
      <c r="A62" s="15">
        <v>44029</v>
      </c>
      <c r="B62" t="s">
        <v>10</v>
      </c>
      <c r="D62">
        <v>13.3</v>
      </c>
      <c r="E62">
        <v>13.4</v>
      </c>
      <c r="F62" t="s">
        <v>24</v>
      </c>
      <c r="G62" s="23"/>
      <c r="H62">
        <v>7033</v>
      </c>
      <c r="I62" s="23"/>
      <c r="J62" s="23"/>
      <c r="K62" s="24"/>
      <c r="L62" s="24"/>
      <c r="M62" s="24"/>
      <c r="N62">
        <v>0.35</v>
      </c>
      <c r="O62">
        <v>0.32</v>
      </c>
      <c r="P62" t="s">
        <v>21</v>
      </c>
      <c r="R62">
        <v>60</v>
      </c>
      <c r="S62">
        <v>40</v>
      </c>
      <c r="V62" t="s">
        <v>33</v>
      </c>
      <c r="W62" t="s">
        <v>31</v>
      </c>
    </row>
    <row r="63" spans="1:24" x14ac:dyDescent="0.35">
      <c r="A63" s="15">
        <v>44029</v>
      </c>
      <c r="B63" t="s">
        <v>10</v>
      </c>
      <c r="D63">
        <v>13.3</v>
      </c>
      <c r="E63">
        <v>13.4</v>
      </c>
      <c r="F63" t="s">
        <v>24</v>
      </c>
      <c r="G63" s="23"/>
      <c r="H63">
        <v>7033</v>
      </c>
      <c r="I63" s="23"/>
      <c r="J63" s="23"/>
      <c r="K63" s="24"/>
      <c r="L63" s="24"/>
      <c r="M63" s="24"/>
      <c r="N63">
        <v>0.2</v>
      </c>
      <c r="O63">
        <v>0.23</v>
      </c>
      <c r="P63" t="s">
        <v>21</v>
      </c>
      <c r="R63">
        <v>70</v>
      </c>
      <c r="S63">
        <v>30</v>
      </c>
      <c r="V63" t="s">
        <v>33</v>
      </c>
      <c r="W63" t="s">
        <v>31</v>
      </c>
    </row>
    <row r="64" spans="1:24" x14ac:dyDescent="0.35">
      <c r="A64" s="15">
        <v>44029</v>
      </c>
      <c r="B64" t="s">
        <v>10</v>
      </c>
      <c r="D64">
        <v>13.3</v>
      </c>
      <c r="E64">
        <v>13.4</v>
      </c>
      <c r="F64" t="s">
        <v>24</v>
      </c>
      <c r="G64" s="23"/>
      <c r="H64">
        <v>7056</v>
      </c>
      <c r="I64" s="23"/>
      <c r="J64" s="23"/>
      <c r="K64" s="24"/>
      <c r="L64" s="24"/>
      <c r="M64" s="24"/>
      <c r="N64">
        <v>0.25</v>
      </c>
      <c r="O64">
        <v>0.34</v>
      </c>
      <c r="P64" t="s">
        <v>23</v>
      </c>
      <c r="R64">
        <v>40</v>
      </c>
      <c r="S64">
        <v>60</v>
      </c>
      <c r="V64" t="s">
        <v>33</v>
      </c>
      <c r="W64" t="s">
        <v>31</v>
      </c>
    </row>
    <row r="65" spans="1:23" x14ac:dyDescent="0.35">
      <c r="A65" s="15">
        <v>44029</v>
      </c>
      <c r="B65" t="s">
        <v>10</v>
      </c>
      <c r="D65">
        <v>13.3</v>
      </c>
      <c r="E65">
        <v>13.4</v>
      </c>
      <c r="F65" t="s">
        <v>24</v>
      </c>
      <c r="G65" s="23"/>
      <c r="H65">
        <v>7062</v>
      </c>
      <c r="I65" s="23"/>
      <c r="J65" s="23"/>
      <c r="K65" s="24"/>
      <c r="L65" s="24"/>
      <c r="M65" s="24"/>
      <c r="N65">
        <v>0.25</v>
      </c>
      <c r="O65">
        <v>0.55000000000000004</v>
      </c>
      <c r="P65" t="s">
        <v>21</v>
      </c>
      <c r="R65">
        <v>50</v>
      </c>
      <c r="S65">
        <v>50</v>
      </c>
      <c r="V65" t="s">
        <v>33</v>
      </c>
      <c r="W65" t="s">
        <v>31</v>
      </c>
    </row>
    <row r="66" spans="1:23" x14ac:dyDescent="0.35">
      <c r="A66" s="15">
        <v>44029</v>
      </c>
      <c r="B66" t="s">
        <v>10</v>
      </c>
      <c r="D66">
        <v>13.3</v>
      </c>
      <c r="E66">
        <v>13.4</v>
      </c>
      <c r="F66" t="s">
        <v>25</v>
      </c>
      <c r="G66" s="23"/>
      <c r="H66">
        <v>7127</v>
      </c>
      <c r="I66" s="23"/>
      <c r="J66" s="23"/>
      <c r="K66" s="24"/>
      <c r="L66" s="24"/>
      <c r="M66" s="24"/>
      <c r="N66">
        <v>0.2</v>
      </c>
      <c r="O66">
        <v>0.49</v>
      </c>
      <c r="P66" t="s">
        <v>21</v>
      </c>
      <c r="R66">
        <v>50</v>
      </c>
      <c r="S66">
        <v>50</v>
      </c>
      <c r="V66" t="s">
        <v>33</v>
      </c>
      <c r="W66" t="s">
        <v>31</v>
      </c>
    </row>
    <row r="67" spans="1:23" x14ac:dyDescent="0.35">
      <c r="A67" s="15">
        <v>44029</v>
      </c>
      <c r="B67" t="s">
        <v>10</v>
      </c>
      <c r="D67">
        <v>13.3</v>
      </c>
      <c r="E67">
        <v>13.4</v>
      </c>
      <c r="F67" t="s">
        <v>25</v>
      </c>
      <c r="G67" s="23"/>
      <c r="H67">
        <v>7145</v>
      </c>
      <c r="I67" s="23"/>
      <c r="J67" s="23"/>
      <c r="K67" s="24"/>
      <c r="L67" s="24"/>
      <c r="M67" s="24"/>
      <c r="N67">
        <v>0.15</v>
      </c>
      <c r="O67">
        <v>0.33</v>
      </c>
      <c r="P67" t="s">
        <v>23</v>
      </c>
      <c r="R67">
        <v>40</v>
      </c>
      <c r="S67">
        <v>60</v>
      </c>
      <c r="V67" t="s">
        <v>33</v>
      </c>
      <c r="W67" t="s">
        <v>31</v>
      </c>
    </row>
    <row r="68" spans="1:23" x14ac:dyDescent="0.35">
      <c r="A68" s="15">
        <v>44029</v>
      </c>
      <c r="B68" t="s">
        <v>10</v>
      </c>
      <c r="D68">
        <v>13.3</v>
      </c>
      <c r="E68">
        <v>13.4</v>
      </c>
      <c r="F68" t="s">
        <v>25</v>
      </c>
      <c r="G68" s="23"/>
      <c r="H68">
        <v>7151</v>
      </c>
      <c r="I68" s="23"/>
      <c r="J68" s="23"/>
      <c r="K68" s="24"/>
      <c r="L68" s="24"/>
      <c r="M68" s="24"/>
      <c r="N68">
        <v>0.1</v>
      </c>
      <c r="O68">
        <v>0.63</v>
      </c>
      <c r="P68" t="s">
        <v>21</v>
      </c>
      <c r="R68">
        <v>50</v>
      </c>
      <c r="S68">
        <v>50</v>
      </c>
      <c r="V68" t="s">
        <v>33</v>
      </c>
      <c r="W68" t="s">
        <v>31</v>
      </c>
    </row>
    <row r="69" spans="1:23" x14ac:dyDescent="0.35">
      <c r="A69" s="15">
        <v>44029</v>
      </c>
      <c r="B69" t="s">
        <v>10</v>
      </c>
      <c r="D69">
        <v>13.3</v>
      </c>
      <c r="E69">
        <v>13.4</v>
      </c>
      <c r="F69" t="s">
        <v>25</v>
      </c>
      <c r="G69" s="23"/>
      <c r="H69">
        <v>7158</v>
      </c>
      <c r="I69" s="23"/>
      <c r="J69" s="23"/>
      <c r="K69" s="24"/>
      <c r="L69" s="24"/>
      <c r="M69" s="24"/>
      <c r="N69">
        <v>0.2</v>
      </c>
      <c r="O69">
        <v>0.25</v>
      </c>
      <c r="R69">
        <v>60</v>
      </c>
      <c r="S69">
        <v>40</v>
      </c>
      <c r="V69" t="s">
        <v>33</v>
      </c>
      <c r="W69" t="s">
        <v>31</v>
      </c>
    </row>
    <row r="70" spans="1:23" x14ac:dyDescent="0.35">
      <c r="A70" s="15">
        <v>44029</v>
      </c>
      <c r="B70" t="s">
        <v>10</v>
      </c>
      <c r="D70">
        <v>13.3</v>
      </c>
      <c r="E70">
        <v>13.4</v>
      </c>
      <c r="F70" t="s">
        <v>27</v>
      </c>
      <c r="G70" s="23"/>
      <c r="H70">
        <v>7168</v>
      </c>
      <c r="I70" s="23"/>
      <c r="J70" s="23"/>
      <c r="K70" s="24"/>
      <c r="L70" s="24"/>
      <c r="M70" s="24"/>
      <c r="N70">
        <v>0.2</v>
      </c>
      <c r="O70">
        <v>0.27</v>
      </c>
      <c r="P70" t="s">
        <v>23</v>
      </c>
      <c r="R70">
        <v>30</v>
      </c>
      <c r="S70">
        <v>70</v>
      </c>
      <c r="V70" t="s">
        <v>33</v>
      </c>
      <c r="W70" t="s">
        <v>31</v>
      </c>
    </row>
    <row r="71" spans="1:23" x14ac:dyDescent="0.35">
      <c r="A71" s="15">
        <v>44029</v>
      </c>
      <c r="B71" t="s">
        <v>10</v>
      </c>
      <c r="D71">
        <v>13.3</v>
      </c>
      <c r="E71">
        <v>13.4</v>
      </c>
      <c r="F71" t="s">
        <v>27</v>
      </c>
      <c r="G71" s="23"/>
      <c r="H71">
        <v>7168</v>
      </c>
      <c r="I71" s="23"/>
      <c r="J71" s="23"/>
      <c r="K71" s="24"/>
      <c r="L71" s="24"/>
      <c r="M71" s="24"/>
      <c r="N71">
        <v>0.3</v>
      </c>
      <c r="O71">
        <v>45</v>
      </c>
      <c r="P71" t="s">
        <v>21</v>
      </c>
      <c r="R71">
        <v>60</v>
      </c>
      <c r="S71">
        <v>40</v>
      </c>
      <c r="V71" t="s">
        <v>33</v>
      </c>
      <c r="W71" t="s">
        <v>31</v>
      </c>
    </row>
    <row r="72" spans="1:23" x14ac:dyDescent="0.35">
      <c r="A72" s="15">
        <v>44029</v>
      </c>
      <c r="B72" t="s">
        <v>10</v>
      </c>
      <c r="D72">
        <v>13.3</v>
      </c>
      <c r="E72">
        <v>13.4</v>
      </c>
      <c r="F72" t="s">
        <v>27</v>
      </c>
      <c r="G72" s="23"/>
      <c r="H72">
        <v>7180</v>
      </c>
      <c r="I72" s="23"/>
      <c r="J72" s="23"/>
      <c r="K72" s="24"/>
      <c r="L72" s="24"/>
      <c r="M72" s="24"/>
      <c r="N72">
        <v>0.2</v>
      </c>
      <c r="O72">
        <v>0.21</v>
      </c>
      <c r="P72" t="s">
        <v>23</v>
      </c>
      <c r="R72">
        <v>25</v>
      </c>
      <c r="S72">
        <v>75</v>
      </c>
      <c r="V72" t="s">
        <v>33</v>
      </c>
      <c r="W72" t="s">
        <v>31</v>
      </c>
    </row>
    <row r="73" spans="1:23" x14ac:dyDescent="0.35">
      <c r="A73" s="15">
        <v>44029</v>
      </c>
      <c r="B73" t="s">
        <v>10</v>
      </c>
      <c r="D73">
        <v>13.3</v>
      </c>
      <c r="E73">
        <v>13.4</v>
      </c>
      <c r="F73" t="s">
        <v>27</v>
      </c>
      <c r="G73" s="23"/>
      <c r="H73">
        <v>7187</v>
      </c>
      <c r="I73" s="23"/>
      <c r="J73" s="23"/>
      <c r="K73" s="24"/>
      <c r="L73" s="24"/>
      <c r="M73" s="24"/>
      <c r="N73">
        <v>0.2</v>
      </c>
      <c r="O73">
        <v>0.56999999999999995</v>
      </c>
      <c r="P73" t="s">
        <v>23</v>
      </c>
      <c r="R73">
        <v>25</v>
      </c>
      <c r="S73">
        <v>75</v>
      </c>
      <c r="V73" t="s">
        <v>33</v>
      </c>
      <c r="W73" t="s">
        <v>31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B1" sqref="B1"/>
    </sheetView>
  </sheetViews>
  <sheetFormatPr defaultRowHeight="14.5" x14ac:dyDescent="0.35"/>
  <cols>
    <col min="1" max="1" width="9.7265625" bestFit="1" customWidth="1"/>
    <col min="2" max="2" width="9.7265625" customWidth="1"/>
    <col min="3" max="3" width="31.81640625" bestFit="1" customWidth="1"/>
    <col min="5" max="5" width="11.7265625" bestFit="1" customWidth="1"/>
  </cols>
  <sheetData>
    <row r="1" spans="1:6" ht="29" x14ac:dyDescent="0.35">
      <c r="A1" t="s">
        <v>0</v>
      </c>
      <c r="B1" s="1" t="s">
        <v>87</v>
      </c>
      <c r="C1" t="s">
        <v>16</v>
      </c>
      <c r="D1" t="s">
        <v>86</v>
      </c>
      <c r="E1" t="s">
        <v>1</v>
      </c>
      <c r="F1" t="s">
        <v>2</v>
      </c>
    </row>
    <row r="2" spans="1:6" x14ac:dyDescent="0.35">
      <c r="A2" s="15">
        <v>44393</v>
      </c>
      <c r="B2" s="22">
        <v>6030.25</v>
      </c>
      <c r="C2" t="s">
        <v>44</v>
      </c>
      <c r="D2">
        <v>1</v>
      </c>
      <c r="E2" t="s">
        <v>10</v>
      </c>
      <c r="F2" t="s">
        <v>62</v>
      </c>
    </row>
    <row r="3" spans="1:6" x14ac:dyDescent="0.35">
      <c r="A3" s="15">
        <v>44393</v>
      </c>
      <c r="B3" s="22">
        <v>6054.5</v>
      </c>
      <c r="C3" t="s">
        <v>44</v>
      </c>
      <c r="D3">
        <v>2</v>
      </c>
      <c r="E3" t="s">
        <v>10</v>
      </c>
      <c r="F3" t="s">
        <v>62</v>
      </c>
    </row>
    <row r="4" spans="1:6" x14ac:dyDescent="0.35">
      <c r="A4" s="15">
        <v>44393</v>
      </c>
      <c r="B4" s="22">
        <v>6088.5</v>
      </c>
      <c r="C4" t="s">
        <v>44</v>
      </c>
      <c r="D4">
        <v>3</v>
      </c>
      <c r="E4" t="s">
        <v>10</v>
      </c>
      <c r="F4" t="s">
        <v>62</v>
      </c>
    </row>
    <row r="5" spans="1:6" x14ac:dyDescent="0.35">
      <c r="A5" s="15">
        <v>44386</v>
      </c>
      <c r="B5" s="22">
        <v>5188.5</v>
      </c>
      <c r="C5" t="s">
        <v>44</v>
      </c>
      <c r="D5">
        <v>10</v>
      </c>
      <c r="E5" t="s">
        <v>10</v>
      </c>
      <c r="F5" t="s">
        <v>59</v>
      </c>
    </row>
    <row r="6" spans="1:6" x14ac:dyDescent="0.35">
      <c r="A6" s="15">
        <v>44386</v>
      </c>
      <c r="B6" s="22">
        <v>5244.75</v>
      </c>
      <c r="C6" t="s">
        <v>44</v>
      </c>
      <c r="D6">
        <v>11</v>
      </c>
      <c r="E6" t="s">
        <v>10</v>
      </c>
      <c r="F6" t="s">
        <v>59</v>
      </c>
    </row>
    <row r="7" spans="1:6" x14ac:dyDescent="0.35">
      <c r="A7" s="15">
        <v>44386</v>
      </c>
      <c r="B7" s="22">
        <v>5255.25</v>
      </c>
      <c r="C7" t="s">
        <v>44</v>
      </c>
      <c r="D7">
        <v>12</v>
      </c>
      <c r="E7" t="s">
        <v>10</v>
      </c>
      <c r="F7" t="s">
        <v>59</v>
      </c>
    </row>
    <row r="8" spans="1:6" x14ac:dyDescent="0.35">
      <c r="A8" s="15">
        <v>44389</v>
      </c>
      <c r="B8" s="22">
        <v>5352</v>
      </c>
      <c r="C8" t="s">
        <v>44</v>
      </c>
      <c r="D8">
        <v>13</v>
      </c>
      <c r="E8" t="s">
        <v>10</v>
      </c>
      <c r="F8" t="s">
        <v>62</v>
      </c>
    </row>
    <row r="9" spans="1:6" x14ac:dyDescent="0.35">
      <c r="A9" s="15">
        <v>44389</v>
      </c>
      <c r="B9" s="22">
        <v>5431.25</v>
      </c>
      <c r="C9" t="s">
        <v>44</v>
      </c>
      <c r="D9">
        <v>14</v>
      </c>
      <c r="E9" t="s">
        <v>10</v>
      </c>
      <c r="F9" t="s">
        <v>62</v>
      </c>
    </row>
    <row r="10" spans="1:6" x14ac:dyDescent="0.35">
      <c r="A10" s="15">
        <v>44389</v>
      </c>
      <c r="B10" s="22">
        <v>5444.25</v>
      </c>
      <c r="C10" t="s">
        <v>44</v>
      </c>
      <c r="D10">
        <v>15</v>
      </c>
      <c r="E10" t="s">
        <v>10</v>
      </c>
      <c r="F10" t="s">
        <v>62</v>
      </c>
    </row>
    <row r="11" spans="1:6" x14ac:dyDescent="0.35">
      <c r="A11" s="15">
        <v>44390</v>
      </c>
      <c r="B11" s="22">
        <v>7044.25</v>
      </c>
      <c r="C11" t="s">
        <v>31</v>
      </c>
      <c r="D11">
        <v>7</v>
      </c>
      <c r="E11" t="s">
        <v>10</v>
      </c>
      <c r="F11" t="s">
        <v>62</v>
      </c>
    </row>
    <row r="12" spans="1:6" x14ac:dyDescent="0.35">
      <c r="A12" s="15">
        <v>44390</v>
      </c>
      <c r="B12" s="22">
        <v>7160.75</v>
      </c>
      <c r="C12" t="s">
        <v>31</v>
      </c>
      <c r="D12">
        <v>8</v>
      </c>
      <c r="E12" t="s">
        <v>10</v>
      </c>
      <c r="F12" t="s">
        <v>62</v>
      </c>
    </row>
    <row r="13" spans="1:6" x14ac:dyDescent="0.35">
      <c r="A13" s="15">
        <v>44390</v>
      </c>
      <c r="B13" s="22">
        <v>7187.25</v>
      </c>
      <c r="C13" t="s">
        <v>31</v>
      </c>
      <c r="D13">
        <v>9</v>
      </c>
      <c r="E13" t="s">
        <v>10</v>
      </c>
      <c r="F13" t="s">
        <v>62</v>
      </c>
    </row>
    <row r="14" spans="1:6" x14ac:dyDescent="0.35">
      <c r="A14" s="15">
        <v>44393</v>
      </c>
      <c r="B14" s="22">
        <v>6170.25</v>
      </c>
      <c r="C14" t="s">
        <v>31</v>
      </c>
      <c r="D14">
        <v>4</v>
      </c>
      <c r="E14" t="s">
        <v>10</v>
      </c>
      <c r="F14" t="s">
        <v>62</v>
      </c>
    </row>
    <row r="15" spans="1:6" x14ac:dyDescent="0.35">
      <c r="A15" s="15">
        <v>44393</v>
      </c>
      <c r="B15" s="22">
        <v>6187.5</v>
      </c>
      <c r="C15" t="s">
        <v>31</v>
      </c>
      <c r="D15">
        <v>5</v>
      </c>
      <c r="E15" t="s">
        <v>10</v>
      </c>
      <c r="F15" t="s">
        <v>62</v>
      </c>
    </row>
    <row r="16" spans="1:6" x14ac:dyDescent="0.35">
      <c r="A16" s="15">
        <v>44393</v>
      </c>
      <c r="B16" s="22">
        <v>6213.75</v>
      </c>
      <c r="C16" t="s">
        <v>31</v>
      </c>
      <c r="D16">
        <v>6</v>
      </c>
      <c r="E16" t="s">
        <v>10</v>
      </c>
      <c r="F16" t="s">
        <v>62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1"/>
  <sheetViews>
    <sheetView workbookViewId="0">
      <pane ySplit="1" topLeftCell="A29" activePane="bottomLeft" state="frozen"/>
      <selection pane="bottomLeft" activeCell="L45" sqref="L45"/>
    </sheetView>
  </sheetViews>
  <sheetFormatPr defaultRowHeight="14.5" x14ac:dyDescent="0.35"/>
  <cols>
    <col min="1" max="1" width="9.7265625" bestFit="1" customWidth="1"/>
    <col min="2" max="2" width="11.7265625" bestFit="1" customWidth="1"/>
    <col min="3" max="3" width="15.453125" bestFit="1" customWidth="1"/>
  </cols>
  <sheetData>
    <row r="1" spans="1:23" ht="36" customHeight="1" x14ac:dyDescent="0.35">
      <c r="A1" s="3" t="s">
        <v>0</v>
      </c>
      <c r="B1" s="3" t="s">
        <v>1</v>
      </c>
      <c r="C1" s="3" t="s">
        <v>2</v>
      </c>
      <c r="D1" s="3" t="s">
        <v>8</v>
      </c>
      <c r="E1" s="3" t="s">
        <v>9</v>
      </c>
      <c r="F1" s="3" t="s">
        <v>3</v>
      </c>
      <c r="G1" s="3" t="s">
        <v>34</v>
      </c>
      <c r="H1" s="3" t="s">
        <v>4</v>
      </c>
      <c r="I1" s="10" t="s">
        <v>5</v>
      </c>
      <c r="J1" s="10" t="s">
        <v>6</v>
      </c>
      <c r="K1" s="10" t="s">
        <v>46</v>
      </c>
      <c r="L1" s="10" t="s">
        <v>47</v>
      </c>
      <c r="M1" s="10" t="s">
        <v>58</v>
      </c>
      <c r="N1" s="3" t="s">
        <v>7</v>
      </c>
      <c r="O1" s="3" t="s">
        <v>45</v>
      </c>
      <c r="P1" s="3" t="s">
        <v>63</v>
      </c>
      <c r="Q1" s="3" t="s">
        <v>64</v>
      </c>
      <c r="R1" s="3" t="s">
        <v>65</v>
      </c>
      <c r="S1" s="3" t="s">
        <v>80</v>
      </c>
      <c r="T1" s="3" t="s">
        <v>76</v>
      </c>
      <c r="U1" s="3" t="s">
        <v>32</v>
      </c>
      <c r="V1" s="9" t="s">
        <v>16</v>
      </c>
      <c r="W1" s="3" t="s">
        <v>48</v>
      </c>
    </row>
    <row r="2" spans="1:23" x14ac:dyDescent="0.35">
      <c r="A2" s="15">
        <v>44386</v>
      </c>
      <c r="B2" t="s">
        <v>10</v>
      </c>
      <c r="C2" t="s">
        <v>59</v>
      </c>
      <c r="D2">
        <v>20.100000000000001</v>
      </c>
      <c r="E2">
        <v>13.7</v>
      </c>
      <c r="F2">
        <v>10</v>
      </c>
      <c r="G2" s="23"/>
      <c r="H2">
        <v>5175</v>
      </c>
      <c r="I2" s="23"/>
      <c r="J2" s="23"/>
      <c r="K2" s="23"/>
      <c r="L2" s="23"/>
      <c r="M2" s="23"/>
      <c r="N2">
        <v>0.15</v>
      </c>
      <c r="O2">
        <v>0.28000000000000003</v>
      </c>
      <c r="P2">
        <v>0</v>
      </c>
      <c r="Q2">
        <v>50</v>
      </c>
      <c r="R2">
        <v>50</v>
      </c>
      <c r="S2">
        <v>0</v>
      </c>
      <c r="T2" t="s">
        <v>69</v>
      </c>
      <c r="U2" t="s">
        <v>67</v>
      </c>
      <c r="V2" t="s">
        <v>68</v>
      </c>
    </row>
    <row r="3" spans="1:23" x14ac:dyDescent="0.35">
      <c r="A3" s="15">
        <v>44386</v>
      </c>
      <c r="B3" t="s">
        <v>10</v>
      </c>
      <c r="C3" t="s">
        <v>59</v>
      </c>
      <c r="D3">
        <v>20.100000000000001</v>
      </c>
      <c r="E3">
        <v>13.7</v>
      </c>
      <c r="F3">
        <v>10</v>
      </c>
      <c r="G3" s="23"/>
      <c r="H3">
        <v>5182</v>
      </c>
      <c r="I3" s="23"/>
      <c r="J3" s="23"/>
      <c r="K3" s="23"/>
      <c r="L3" s="23"/>
      <c r="M3" s="23"/>
      <c r="N3">
        <v>0.2</v>
      </c>
      <c r="O3">
        <v>0.77</v>
      </c>
      <c r="P3">
        <v>0</v>
      </c>
      <c r="Q3">
        <v>50</v>
      </c>
      <c r="R3">
        <v>50</v>
      </c>
      <c r="S3">
        <v>0</v>
      </c>
      <c r="T3" t="s">
        <v>69</v>
      </c>
      <c r="U3" t="s">
        <v>67</v>
      </c>
      <c r="V3" t="s">
        <v>68</v>
      </c>
    </row>
    <row r="4" spans="1:23" x14ac:dyDescent="0.35">
      <c r="A4" s="15">
        <v>44386</v>
      </c>
      <c r="B4" t="s">
        <v>10</v>
      </c>
      <c r="C4" t="s">
        <v>59</v>
      </c>
      <c r="D4">
        <v>20.100000000000001</v>
      </c>
      <c r="E4">
        <v>13.7</v>
      </c>
      <c r="F4">
        <v>10</v>
      </c>
      <c r="G4" s="23"/>
      <c r="H4">
        <v>5192</v>
      </c>
      <c r="I4" s="23"/>
      <c r="J4" s="23"/>
      <c r="K4" s="23"/>
      <c r="L4" s="23"/>
      <c r="M4" s="23"/>
      <c r="N4">
        <v>0.15</v>
      </c>
      <c r="O4">
        <v>0.27</v>
      </c>
      <c r="P4">
        <v>0</v>
      </c>
      <c r="Q4">
        <v>40</v>
      </c>
      <c r="R4">
        <v>50</v>
      </c>
      <c r="S4">
        <v>10</v>
      </c>
      <c r="T4" t="s">
        <v>70</v>
      </c>
      <c r="U4" t="s">
        <v>67</v>
      </c>
      <c r="V4" t="s">
        <v>68</v>
      </c>
    </row>
    <row r="5" spans="1:23" x14ac:dyDescent="0.35">
      <c r="A5" s="15">
        <v>44386</v>
      </c>
      <c r="B5" t="s">
        <v>10</v>
      </c>
      <c r="C5" t="s">
        <v>59</v>
      </c>
      <c r="D5">
        <v>20.100000000000001</v>
      </c>
      <c r="E5">
        <v>13.7</v>
      </c>
      <c r="F5">
        <v>10</v>
      </c>
      <c r="G5" s="23"/>
      <c r="H5">
        <v>5205</v>
      </c>
      <c r="I5" s="23"/>
      <c r="J5" s="23"/>
      <c r="K5" s="23"/>
      <c r="L5" s="23"/>
      <c r="M5" s="23"/>
      <c r="N5">
        <v>0.2</v>
      </c>
      <c r="O5">
        <v>0.22</v>
      </c>
      <c r="P5">
        <v>0</v>
      </c>
      <c r="Q5">
        <v>25</v>
      </c>
      <c r="R5">
        <v>65</v>
      </c>
      <c r="S5">
        <v>10</v>
      </c>
      <c r="T5" t="s">
        <v>69</v>
      </c>
      <c r="U5" t="s">
        <v>67</v>
      </c>
      <c r="V5" t="s">
        <v>68</v>
      </c>
    </row>
    <row r="6" spans="1:23" x14ac:dyDescent="0.35">
      <c r="A6" s="15">
        <v>44386</v>
      </c>
      <c r="B6" t="s">
        <v>10</v>
      </c>
      <c r="C6" t="s">
        <v>59</v>
      </c>
      <c r="D6">
        <v>20.100000000000001</v>
      </c>
      <c r="E6">
        <v>13.7</v>
      </c>
      <c r="F6">
        <v>11</v>
      </c>
      <c r="G6" s="23"/>
      <c r="H6">
        <v>5240</v>
      </c>
      <c r="I6" s="23"/>
      <c r="J6" s="23"/>
      <c r="K6" s="23"/>
      <c r="L6" s="23"/>
      <c r="M6" s="23"/>
      <c r="N6">
        <v>0.25</v>
      </c>
      <c r="O6">
        <v>0.45</v>
      </c>
      <c r="P6">
        <v>0</v>
      </c>
      <c r="Q6">
        <v>25</v>
      </c>
      <c r="R6">
        <v>55</v>
      </c>
      <c r="S6">
        <v>20</v>
      </c>
      <c r="T6" t="s">
        <v>70</v>
      </c>
      <c r="U6" t="s">
        <v>67</v>
      </c>
      <c r="V6" t="s">
        <v>68</v>
      </c>
    </row>
    <row r="7" spans="1:23" x14ac:dyDescent="0.35">
      <c r="A7" s="15">
        <v>44386</v>
      </c>
      <c r="B7" t="s">
        <v>10</v>
      </c>
      <c r="C7" t="s">
        <v>59</v>
      </c>
      <c r="D7">
        <v>20.100000000000001</v>
      </c>
      <c r="E7">
        <v>13.7</v>
      </c>
      <c r="F7">
        <v>11</v>
      </c>
      <c r="G7" s="23"/>
      <c r="H7">
        <v>5245</v>
      </c>
      <c r="I7" s="23"/>
      <c r="J7" s="23"/>
      <c r="K7" s="23"/>
      <c r="L7" s="23"/>
      <c r="M7" s="23"/>
      <c r="N7">
        <v>0.25</v>
      </c>
      <c r="O7">
        <v>0.34</v>
      </c>
      <c r="P7">
        <v>0</v>
      </c>
      <c r="Q7">
        <v>25</v>
      </c>
      <c r="R7">
        <v>55</v>
      </c>
      <c r="S7">
        <v>20</v>
      </c>
      <c r="T7" t="s">
        <v>70</v>
      </c>
      <c r="U7" t="s">
        <v>67</v>
      </c>
      <c r="V7" t="s">
        <v>68</v>
      </c>
    </row>
    <row r="8" spans="1:23" x14ac:dyDescent="0.35">
      <c r="A8" s="15">
        <v>44386</v>
      </c>
      <c r="B8" t="s">
        <v>10</v>
      </c>
      <c r="C8" t="s">
        <v>59</v>
      </c>
      <c r="D8">
        <v>20.100000000000001</v>
      </c>
      <c r="E8">
        <v>13.7</v>
      </c>
      <c r="F8">
        <v>11</v>
      </c>
      <c r="G8" s="23"/>
      <c r="H8">
        <v>5246</v>
      </c>
      <c r="I8" s="23"/>
      <c r="J8" s="23"/>
      <c r="K8" s="23"/>
      <c r="L8" s="23"/>
      <c r="M8" s="23"/>
      <c r="N8">
        <v>0.25</v>
      </c>
      <c r="O8">
        <v>0.54</v>
      </c>
      <c r="P8">
        <v>0</v>
      </c>
      <c r="Q8">
        <v>50</v>
      </c>
      <c r="R8">
        <v>25</v>
      </c>
      <c r="S8">
        <v>25</v>
      </c>
      <c r="T8" t="s">
        <v>71</v>
      </c>
      <c r="U8" t="s">
        <v>67</v>
      </c>
      <c r="V8" t="s">
        <v>68</v>
      </c>
    </row>
    <row r="9" spans="1:23" x14ac:dyDescent="0.35">
      <c r="A9" s="15">
        <v>44386</v>
      </c>
      <c r="B9" t="s">
        <v>10</v>
      </c>
      <c r="C9" t="s">
        <v>59</v>
      </c>
      <c r="D9">
        <v>20.100000000000001</v>
      </c>
      <c r="E9">
        <v>13.7</v>
      </c>
      <c r="F9">
        <v>11</v>
      </c>
      <c r="G9" s="23"/>
      <c r="H9">
        <v>5248</v>
      </c>
      <c r="I9" s="23"/>
      <c r="J9" s="23"/>
      <c r="K9" s="23"/>
      <c r="L9" s="23"/>
      <c r="M9" s="23"/>
      <c r="N9">
        <v>0.2</v>
      </c>
      <c r="O9">
        <v>0.34</v>
      </c>
      <c r="P9">
        <v>0</v>
      </c>
      <c r="Q9">
        <v>25</v>
      </c>
      <c r="R9">
        <v>50</v>
      </c>
      <c r="S9">
        <v>25</v>
      </c>
      <c r="T9" t="s">
        <v>71</v>
      </c>
      <c r="U9" t="s">
        <v>67</v>
      </c>
      <c r="V9" t="s">
        <v>68</v>
      </c>
      <c r="W9" t="s">
        <v>66</v>
      </c>
    </row>
    <row r="10" spans="1:23" x14ac:dyDescent="0.35">
      <c r="A10" s="15">
        <v>44386</v>
      </c>
      <c r="B10" t="s">
        <v>10</v>
      </c>
      <c r="C10" t="s">
        <v>59</v>
      </c>
      <c r="D10">
        <v>20.100000000000001</v>
      </c>
      <c r="E10">
        <v>13.7</v>
      </c>
      <c r="F10">
        <v>12</v>
      </c>
      <c r="G10" s="23"/>
      <c r="H10">
        <v>5250</v>
      </c>
      <c r="I10" s="23"/>
      <c r="J10" s="23"/>
      <c r="K10" s="23"/>
      <c r="L10" s="23"/>
      <c r="M10" s="23"/>
      <c r="N10">
        <v>0.15</v>
      </c>
      <c r="O10">
        <v>0.59</v>
      </c>
      <c r="P10">
        <v>0</v>
      </c>
      <c r="Q10">
        <v>0</v>
      </c>
      <c r="R10">
        <v>75</v>
      </c>
      <c r="S10">
        <v>25</v>
      </c>
      <c r="T10" t="s">
        <v>71</v>
      </c>
      <c r="U10" t="s">
        <v>67</v>
      </c>
      <c r="V10" t="s">
        <v>68</v>
      </c>
    </row>
    <row r="11" spans="1:23" x14ac:dyDescent="0.35">
      <c r="A11" s="15">
        <v>44386</v>
      </c>
      <c r="B11" t="s">
        <v>10</v>
      </c>
      <c r="C11" t="s">
        <v>59</v>
      </c>
      <c r="D11">
        <v>20.100000000000001</v>
      </c>
      <c r="E11">
        <v>13.7</v>
      </c>
      <c r="F11">
        <v>12</v>
      </c>
      <c r="G11" s="23"/>
      <c r="H11">
        <v>5254</v>
      </c>
      <c r="I11" s="23"/>
      <c r="J11" s="23"/>
      <c r="K11" s="23"/>
      <c r="L11" s="23"/>
      <c r="M11" s="23"/>
      <c r="N11">
        <v>0.25</v>
      </c>
      <c r="O11">
        <v>0.89</v>
      </c>
      <c r="P11">
        <v>0</v>
      </c>
      <c r="Q11">
        <v>50</v>
      </c>
      <c r="R11">
        <v>30</v>
      </c>
      <c r="S11">
        <v>20</v>
      </c>
      <c r="T11" t="s">
        <v>71</v>
      </c>
      <c r="U11" t="s">
        <v>67</v>
      </c>
      <c r="V11" t="s">
        <v>68</v>
      </c>
      <c r="W11" t="s">
        <v>66</v>
      </c>
    </row>
    <row r="12" spans="1:23" x14ac:dyDescent="0.35">
      <c r="A12" s="15">
        <v>44386</v>
      </c>
      <c r="B12" t="s">
        <v>10</v>
      </c>
      <c r="C12" t="s">
        <v>59</v>
      </c>
      <c r="D12">
        <v>20.100000000000001</v>
      </c>
      <c r="E12">
        <v>13.7</v>
      </c>
      <c r="F12">
        <v>12</v>
      </c>
      <c r="G12" s="23"/>
      <c r="H12">
        <v>5257</v>
      </c>
      <c r="I12" s="23"/>
      <c r="J12" s="23"/>
      <c r="K12" s="23"/>
      <c r="L12" s="23"/>
      <c r="M12" s="23"/>
      <c r="N12">
        <v>0.25</v>
      </c>
      <c r="O12">
        <v>0.44</v>
      </c>
      <c r="P12">
        <v>0</v>
      </c>
      <c r="Q12">
        <v>0</v>
      </c>
      <c r="R12">
        <v>75</v>
      </c>
      <c r="S12">
        <v>25</v>
      </c>
      <c r="T12" t="s">
        <v>71</v>
      </c>
      <c r="U12" t="s">
        <v>67</v>
      </c>
      <c r="V12" t="s">
        <v>68</v>
      </c>
      <c r="W12" t="s">
        <v>66</v>
      </c>
    </row>
    <row r="13" spans="1:23" x14ac:dyDescent="0.35">
      <c r="A13" s="15">
        <v>44386</v>
      </c>
      <c r="B13" t="s">
        <v>10</v>
      </c>
      <c r="C13" t="s">
        <v>59</v>
      </c>
      <c r="D13">
        <v>20.100000000000001</v>
      </c>
      <c r="E13">
        <v>13.7</v>
      </c>
      <c r="F13">
        <v>12</v>
      </c>
      <c r="G13" s="23"/>
      <c r="H13">
        <v>5260</v>
      </c>
      <c r="I13" s="23"/>
      <c r="J13" s="23"/>
      <c r="K13" s="23"/>
      <c r="L13" s="23"/>
      <c r="M13" s="23"/>
      <c r="N13">
        <v>0.25</v>
      </c>
      <c r="O13">
        <v>0.36</v>
      </c>
      <c r="P13">
        <v>0</v>
      </c>
      <c r="Q13">
        <v>40</v>
      </c>
      <c r="R13">
        <v>40</v>
      </c>
      <c r="S13">
        <v>20</v>
      </c>
      <c r="T13" t="s">
        <v>71</v>
      </c>
      <c r="U13" t="s">
        <v>67</v>
      </c>
      <c r="V13" t="s">
        <v>68</v>
      </c>
      <c r="W13" t="s">
        <v>66</v>
      </c>
    </row>
    <row r="14" spans="1:23" x14ac:dyDescent="0.35">
      <c r="A14" s="15">
        <v>44389</v>
      </c>
      <c r="B14" t="s">
        <v>10</v>
      </c>
      <c r="C14" t="s">
        <v>62</v>
      </c>
      <c r="D14">
        <v>16.8</v>
      </c>
      <c r="E14">
        <v>14.7</v>
      </c>
      <c r="F14">
        <v>13</v>
      </c>
      <c r="G14" s="23"/>
      <c r="H14">
        <v>5348</v>
      </c>
      <c r="I14" s="23"/>
      <c r="J14" s="23"/>
      <c r="K14" s="23"/>
      <c r="L14" s="23"/>
      <c r="M14" s="23"/>
      <c r="N14">
        <v>0.1</v>
      </c>
      <c r="O14">
        <v>0.8</v>
      </c>
      <c r="P14">
        <v>0</v>
      </c>
      <c r="Q14">
        <v>0</v>
      </c>
      <c r="R14">
        <v>80</v>
      </c>
      <c r="S14">
        <v>20</v>
      </c>
      <c r="T14" t="s">
        <v>69</v>
      </c>
      <c r="U14" t="s">
        <v>67</v>
      </c>
      <c r="V14" t="s">
        <v>68</v>
      </c>
      <c r="W14" t="s">
        <v>72</v>
      </c>
    </row>
    <row r="15" spans="1:23" x14ac:dyDescent="0.35">
      <c r="A15" s="15">
        <v>44389</v>
      </c>
      <c r="B15" t="s">
        <v>10</v>
      </c>
      <c r="C15" t="s">
        <v>62</v>
      </c>
      <c r="D15">
        <v>16.8</v>
      </c>
      <c r="E15">
        <v>14.7</v>
      </c>
      <c r="F15">
        <v>13</v>
      </c>
      <c r="G15" s="23"/>
      <c r="H15">
        <v>5351</v>
      </c>
      <c r="I15" s="23"/>
      <c r="J15" s="23"/>
      <c r="K15" s="23"/>
      <c r="L15" s="23"/>
      <c r="M15" s="23"/>
      <c r="N15">
        <v>0.13</v>
      </c>
      <c r="O15">
        <v>0.8</v>
      </c>
      <c r="P15">
        <v>0</v>
      </c>
      <c r="Q15">
        <v>0</v>
      </c>
      <c r="R15">
        <v>80</v>
      </c>
      <c r="S15">
        <v>20</v>
      </c>
      <c r="T15" t="s">
        <v>69</v>
      </c>
      <c r="U15" t="s">
        <v>67</v>
      </c>
      <c r="V15" t="s">
        <v>68</v>
      </c>
      <c r="W15" t="s">
        <v>72</v>
      </c>
    </row>
    <row r="16" spans="1:23" x14ac:dyDescent="0.35">
      <c r="A16" s="15">
        <v>44389</v>
      </c>
      <c r="B16" t="s">
        <v>10</v>
      </c>
      <c r="C16" t="s">
        <v>62</v>
      </c>
      <c r="D16">
        <v>16.8</v>
      </c>
      <c r="E16">
        <v>14.7</v>
      </c>
      <c r="F16">
        <v>13</v>
      </c>
      <c r="G16" s="23"/>
      <c r="H16">
        <v>5352</v>
      </c>
      <c r="I16" s="23"/>
      <c r="J16" s="23"/>
      <c r="K16" s="23"/>
      <c r="L16" s="23"/>
      <c r="M16" s="23"/>
      <c r="N16">
        <v>0.2</v>
      </c>
      <c r="O16">
        <v>0.25</v>
      </c>
      <c r="P16">
        <v>0</v>
      </c>
      <c r="Q16">
        <v>50</v>
      </c>
      <c r="R16">
        <v>40</v>
      </c>
      <c r="S16">
        <v>10</v>
      </c>
      <c r="T16" t="s">
        <v>69</v>
      </c>
      <c r="U16" t="s">
        <v>67</v>
      </c>
      <c r="V16" t="s">
        <v>68</v>
      </c>
      <c r="W16" t="s">
        <v>72</v>
      </c>
    </row>
    <row r="17" spans="1:23" x14ac:dyDescent="0.35">
      <c r="A17" s="15">
        <v>44389</v>
      </c>
      <c r="B17" t="s">
        <v>10</v>
      </c>
      <c r="C17" t="s">
        <v>62</v>
      </c>
      <c r="D17">
        <v>16.8</v>
      </c>
      <c r="E17">
        <v>14.7</v>
      </c>
      <c r="F17">
        <v>13</v>
      </c>
      <c r="G17" s="23"/>
      <c r="H17">
        <v>5357</v>
      </c>
      <c r="I17" s="23"/>
      <c r="J17" s="23"/>
      <c r="K17" s="23"/>
      <c r="L17" s="23"/>
      <c r="M17" s="23"/>
      <c r="N17">
        <v>0.15</v>
      </c>
      <c r="O17">
        <v>0.28999999999999998</v>
      </c>
      <c r="P17">
        <v>0</v>
      </c>
      <c r="Q17">
        <v>10</v>
      </c>
      <c r="R17">
        <v>75</v>
      </c>
      <c r="S17">
        <v>15</v>
      </c>
      <c r="T17" t="s">
        <v>69</v>
      </c>
      <c r="U17" t="s">
        <v>67</v>
      </c>
      <c r="V17" t="s">
        <v>68</v>
      </c>
      <c r="W17" t="s">
        <v>72</v>
      </c>
    </row>
    <row r="18" spans="1:23" x14ac:dyDescent="0.35">
      <c r="A18" s="15">
        <v>44389</v>
      </c>
      <c r="B18" t="s">
        <v>10</v>
      </c>
      <c r="C18" t="s">
        <v>62</v>
      </c>
      <c r="D18">
        <v>16.8</v>
      </c>
      <c r="E18">
        <v>14.7</v>
      </c>
      <c r="F18">
        <v>14</v>
      </c>
      <c r="G18" s="23"/>
      <c r="H18">
        <v>5427</v>
      </c>
      <c r="I18" s="23"/>
      <c r="J18" s="23"/>
      <c r="K18" s="23"/>
      <c r="L18" s="23"/>
      <c r="M18" s="23"/>
      <c r="N18">
        <v>0.15</v>
      </c>
      <c r="O18">
        <v>0.49</v>
      </c>
      <c r="P18">
        <v>0</v>
      </c>
      <c r="Q18">
        <v>30</v>
      </c>
      <c r="R18">
        <v>50</v>
      </c>
      <c r="S18">
        <v>20</v>
      </c>
      <c r="T18" t="s">
        <v>70</v>
      </c>
      <c r="U18" t="s">
        <v>67</v>
      </c>
      <c r="V18" t="s">
        <v>68</v>
      </c>
      <c r="W18" t="s">
        <v>72</v>
      </c>
    </row>
    <row r="19" spans="1:23" x14ac:dyDescent="0.35">
      <c r="A19" s="15">
        <v>44389</v>
      </c>
      <c r="B19" t="s">
        <v>10</v>
      </c>
      <c r="C19" t="s">
        <v>62</v>
      </c>
      <c r="D19">
        <v>16.8</v>
      </c>
      <c r="E19">
        <v>14.7</v>
      </c>
      <c r="F19">
        <v>14</v>
      </c>
      <c r="G19" s="23"/>
      <c r="H19">
        <v>5429</v>
      </c>
      <c r="I19" s="23"/>
      <c r="J19" s="23"/>
      <c r="K19" s="23"/>
      <c r="L19" s="23"/>
      <c r="M19" s="23"/>
      <c r="N19">
        <v>0.25</v>
      </c>
      <c r="O19">
        <v>0.23</v>
      </c>
      <c r="P19">
        <v>0</v>
      </c>
      <c r="Q19">
        <v>40</v>
      </c>
      <c r="R19">
        <v>45</v>
      </c>
      <c r="S19">
        <v>15</v>
      </c>
      <c r="T19" t="s">
        <v>69</v>
      </c>
      <c r="U19" t="s">
        <v>67</v>
      </c>
      <c r="V19" t="s">
        <v>68</v>
      </c>
    </row>
    <row r="20" spans="1:23" x14ac:dyDescent="0.35">
      <c r="A20" s="15">
        <v>44389</v>
      </c>
      <c r="B20" t="s">
        <v>10</v>
      </c>
      <c r="C20" t="s">
        <v>62</v>
      </c>
      <c r="D20">
        <v>16.8</v>
      </c>
      <c r="E20">
        <v>14.7</v>
      </c>
      <c r="F20">
        <v>14</v>
      </c>
      <c r="G20" s="23"/>
      <c r="H20">
        <v>5433</v>
      </c>
      <c r="I20" s="23"/>
      <c r="J20" s="23"/>
      <c r="K20" s="23"/>
      <c r="L20" s="23"/>
      <c r="M20" s="23"/>
      <c r="N20">
        <v>0.3</v>
      </c>
      <c r="O20">
        <v>0.53</v>
      </c>
      <c r="P20">
        <v>0</v>
      </c>
      <c r="Q20">
        <v>40</v>
      </c>
      <c r="R20">
        <v>45</v>
      </c>
      <c r="S20">
        <v>15</v>
      </c>
      <c r="T20" t="s">
        <v>69</v>
      </c>
      <c r="U20" t="s">
        <v>67</v>
      </c>
      <c r="V20" t="s">
        <v>68</v>
      </c>
    </row>
    <row r="21" spans="1:23" x14ac:dyDescent="0.35">
      <c r="A21" s="15">
        <v>44389</v>
      </c>
      <c r="B21" t="s">
        <v>10</v>
      </c>
      <c r="C21" t="s">
        <v>62</v>
      </c>
      <c r="D21">
        <v>16.8</v>
      </c>
      <c r="E21">
        <v>14.7</v>
      </c>
      <c r="F21">
        <v>14</v>
      </c>
      <c r="G21" s="23"/>
      <c r="H21">
        <v>5436</v>
      </c>
      <c r="I21" s="23"/>
      <c r="J21" s="23"/>
      <c r="K21" s="23"/>
      <c r="L21" s="23"/>
      <c r="M21" s="23"/>
      <c r="N21">
        <v>0.3</v>
      </c>
      <c r="O21">
        <v>0.3</v>
      </c>
      <c r="P21">
        <v>0</v>
      </c>
      <c r="Q21">
        <v>50</v>
      </c>
      <c r="R21">
        <v>35</v>
      </c>
      <c r="S21">
        <v>15</v>
      </c>
      <c r="T21" t="s">
        <v>70</v>
      </c>
      <c r="U21" t="s">
        <v>67</v>
      </c>
      <c r="V21" t="s">
        <v>68</v>
      </c>
    </row>
    <row r="22" spans="1:23" x14ac:dyDescent="0.35">
      <c r="A22" s="15">
        <v>44389</v>
      </c>
      <c r="B22" t="s">
        <v>10</v>
      </c>
      <c r="C22" t="s">
        <v>62</v>
      </c>
      <c r="D22">
        <v>16.8</v>
      </c>
      <c r="E22">
        <v>14.7</v>
      </c>
      <c r="F22">
        <v>15</v>
      </c>
      <c r="G22" s="23"/>
      <c r="H22">
        <v>5439</v>
      </c>
      <c r="I22" s="23"/>
      <c r="J22" s="23"/>
      <c r="K22" s="23"/>
      <c r="L22" s="23"/>
      <c r="M22" s="23"/>
      <c r="N22">
        <v>0.28000000000000003</v>
      </c>
      <c r="O22">
        <v>0.45</v>
      </c>
      <c r="P22">
        <v>0</v>
      </c>
      <c r="Q22">
        <v>30</v>
      </c>
      <c r="R22">
        <v>55</v>
      </c>
      <c r="S22">
        <v>15</v>
      </c>
      <c r="T22" t="s">
        <v>70</v>
      </c>
      <c r="U22" t="s">
        <v>67</v>
      </c>
      <c r="V22" t="s">
        <v>68</v>
      </c>
    </row>
    <row r="23" spans="1:23" x14ac:dyDescent="0.35">
      <c r="A23" s="15">
        <v>44389</v>
      </c>
      <c r="B23" t="s">
        <v>10</v>
      </c>
      <c r="C23" t="s">
        <v>62</v>
      </c>
      <c r="D23">
        <v>16.8</v>
      </c>
      <c r="E23">
        <v>14.7</v>
      </c>
      <c r="F23">
        <v>15</v>
      </c>
      <c r="G23" s="23"/>
      <c r="H23">
        <v>5444</v>
      </c>
      <c r="I23" s="23"/>
      <c r="J23" s="23"/>
      <c r="K23" s="23"/>
      <c r="L23" s="23"/>
      <c r="M23" s="23"/>
      <c r="N23">
        <v>0.2</v>
      </c>
      <c r="O23">
        <v>0.34</v>
      </c>
      <c r="P23">
        <v>0</v>
      </c>
      <c r="Q23">
        <v>20</v>
      </c>
      <c r="R23">
        <v>65</v>
      </c>
      <c r="S23">
        <v>15</v>
      </c>
      <c r="T23" t="s">
        <v>70</v>
      </c>
      <c r="U23" t="s">
        <v>67</v>
      </c>
      <c r="V23" t="s">
        <v>68</v>
      </c>
    </row>
    <row r="24" spans="1:23" x14ac:dyDescent="0.35">
      <c r="A24" s="15">
        <v>44389</v>
      </c>
      <c r="B24" t="s">
        <v>10</v>
      </c>
      <c r="C24" t="s">
        <v>62</v>
      </c>
      <c r="D24">
        <v>16.8</v>
      </c>
      <c r="E24">
        <v>14.7</v>
      </c>
      <c r="F24">
        <v>15</v>
      </c>
      <c r="G24" s="23"/>
      <c r="H24">
        <v>5445</v>
      </c>
      <c r="I24" s="23"/>
      <c r="J24" s="23"/>
      <c r="K24" s="23"/>
      <c r="L24" s="23"/>
      <c r="M24" s="23"/>
      <c r="N24">
        <v>0.15</v>
      </c>
      <c r="O24">
        <v>0.53</v>
      </c>
      <c r="P24">
        <v>0</v>
      </c>
      <c r="Q24">
        <v>50</v>
      </c>
      <c r="R24">
        <v>35</v>
      </c>
      <c r="S24">
        <v>15</v>
      </c>
      <c r="T24" t="s">
        <v>70</v>
      </c>
      <c r="U24" t="s">
        <v>67</v>
      </c>
      <c r="V24" t="s">
        <v>68</v>
      </c>
    </row>
    <row r="25" spans="1:23" x14ac:dyDescent="0.35">
      <c r="A25" s="15">
        <v>44389</v>
      </c>
      <c r="B25" t="s">
        <v>10</v>
      </c>
      <c r="C25" t="s">
        <v>62</v>
      </c>
      <c r="D25">
        <v>16.8</v>
      </c>
      <c r="E25">
        <v>14.7</v>
      </c>
      <c r="F25">
        <v>15</v>
      </c>
      <c r="G25" s="23"/>
      <c r="H25">
        <v>5449</v>
      </c>
      <c r="I25" s="23"/>
      <c r="J25" s="23"/>
      <c r="K25" s="23"/>
      <c r="L25" s="23"/>
      <c r="M25" s="23"/>
      <c r="N25">
        <v>0.2</v>
      </c>
      <c r="O25">
        <v>0.41</v>
      </c>
      <c r="P25">
        <v>0</v>
      </c>
      <c r="Q25">
        <v>50</v>
      </c>
      <c r="R25">
        <v>40</v>
      </c>
      <c r="S25">
        <v>10</v>
      </c>
      <c r="T25" t="s">
        <v>70</v>
      </c>
      <c r="U25" t="s">
        <v>67</v>
      </c>
      <c r="V25" t="s">
        <v>68</v>
      </c>
    </row>
    <row r="26" spans="1:23" x14ac:dyDescent="0.35">
      <c r="A26" s="15">
        <v>44390</v>
      </c>
      <c r="B26" t="s">
        <v>10</v>
      </c>
      <c r="C26" t="s">
        <v>62</v>
      </c>
      <c r="D26">
        <v>15.9</v>
      </c>
      <c r="E26">
        <v>13.5</v>
      </c>
      <c r="F26">
        <v>7</v>
      </c>
      <c r="G26" s="23"/>
      <c r="H26">
        <v>7038</v>
      </c>
      <c r="I26" s="23"/>
      <c r="J26" s="23"/>
      <c r="K26" s="23"/>
      <c r="L26" s="23"/>
      <c r="M26" s="23"/>
      <c r="N26">
        <v>0.2</v>
      </c>
      <c r="O26">
        <v>0.8</v>
      </c>
      <c r="P26">
        <v>0</v>
      </c>
      <c r="Q26">
        <v>25</v>
      </c>
      <c r="R26">
        <v>55</v>
      </c>
      <c r="S26">
        <v>20</v>
      </c>
      <c r="T26" t="s">
        <v>71</v>
      </c>
      <c r="U26" t="s">
        <v>67</v>
      </c>
      <c r="V26" t="s">
        <v>73</v>
      </c>
      <c r="W26" t="s">
        <v>75</v>
      </c>
    </row>
    <row r="27" spans="1:23" x14ac:dyDescent="0.35">
      <c r="A27" s="15">
        <v>44390</v>
      </c>
      <c r="B27" t="s">
        <v>10</v>
      </c>
      <c r="C27" t="s">
        <v>62</v>
      </c>
      <c r="D27">
        <v>15.9</v>
      </c>
      <c r="E27">
        <v>13.5</v>
      </c>
      <c r="F27">
        <v>7</v>
      </c>
      <c r="G27" s="23"/>
      <c r="H27">
        <v>7040</v>
      </c>
      <c r="I27" s="23"/>
      <c r="J27" s="23"/>
      <c r="K27" s="23"/>
      <c r="L27" s="23"/>
      <c r="M27" s="23"/>
      <c r="N27">
        <v>0.19</v>
      </c>
      <c r="O27">
        <f>3.5/5.3*0.8</f>
        <v>0.52830188679245293</v>
      </c>
      <c r="P27">
        <v>0</v>
      </c>
      <c r="Q27">
        <v>30</v>
      </c>
      <c r="R27">
        <v>50</v>
      </c>
      <c r="S27">
        <v>20</v>
      </c>
      <c r="T27" t="s">
        <v>70</v>
      </c>
      <c r="U27" t="s">
        <v>67</v>
      </c>
      <c r="V27" t="s">
        <v>73</v>
      </c>
      <c r="W27" t="s">
        <v>75</v>
      </c>
    </row>
    <row r="28" spans="1:23" x14ac:dyDescent="0.35">
      <c r="A28" s="15">
        <v>44390</v>
      </c>
      <c r="B28" t="s">
        <v>10</v>
      </c>
      <c r="C28" t="s">
        <v>62</v>
      </c>
      <c r="D28">
        <v>15.9</v>
      </c>
      <c r="E28">
        <v>13.5</v>
      </c>
      <c r="F28">
        <v>7</v>
      </c>
      <c r="G28" s="23"/>
      <c r="H28">
        <v>7045</v>
      </c>
      <c r="I28" s="23"/>
      <c r="J28" s="23"/>
      <c r="K28" s="23"/>
      <c r="L28" s="23"/>
      <c r="M28" s="23"/>
      <c r="N28">
        <v>0.28000000000000003</v>
      </c>
      <c r="O28">
        <f>3.5/5.95*0.8</f>
        <v>0.4705882352941177</v>
      </c>
      <c r="P28">
        <v>0</v>
      </c>
      <c r="Q28">
        <v>30</v>
      </c>
      <c r="R28">
        <v>55</v>
      </c>
      <c r="S28">
        <v>15</v>
      </c>
      <c r="T28" t="s">
        <v>71</v>
      </c>
      <c r="U28" t="s">
        <v>67</v>
      </c>
      <c r="V28" t="s">
        <v>73</v>
      </c>
      <c r="W28" t="s">
        <v>74</v>
      </c>
    </row>
    <row r="29" spans="1:23" x14ac:dyDescent="0.35">
      <c r="A29" s="15">
        <v>44390</v>
      </c>
      <c r="B29" t="s">
        <v>10</v>
      </c>
      <c r="C29" t="s">
        <v>62</v>
      </c>
      <c r="D29">
        <v>15.9</v>
      </c>
      <c r="E29">
        <v>13.5</v>
      </c>
      <c r="F29">
        <v>7</v>
      </c>
      <c r="G29" s="23"/>
      <c r="H29">
        <v>7054</v>
      </c>
      <c r="I29" s="23"/>
      <c r="J29" s="23"/>
      <c r="K29" s="23"/>
      <c r="L29" s="23"/>
      <c r="M29" s="23"/>
      <c r="N29">
        <v>0.34</v>
      </c>
      <c r="O29">
        <f>2/4.9*0.8</f>
        <v>0.32653061224489793</v>
      </c>
      <c r="P29">
        <v>0</v>
      </c>
      <c r="Q29">
        <v>25</v>
      </c>
      <c r="R29">
        <v>60</v>
      </c>
      <c r="S29">
        <v>15</v>
      </c>
      <c r="T29" t="s">
        <v>69</v>
      </c>
      <c r="U29" t="s">
        <v>67</v>
      </c>
      <c r="V29" t="s">
        <v>73</v>
      </c>
      <c r="W29" t="s">
        <v>74</v>
      </c>
    </row>
    <row r="30" spans="1:23" x14ac:dyDescent="0.35">
      <c r="A30" s="15">
        <v>44390</v>
      </c>
      <c r="B30" t="s">
        <v>10</v>
      </c>
      <c r="C30" t="s">
        <v>62</v>
      </c>
      <c r="D30">
        <v>15.9</v>
      </c>
      <c r="E30">
        <v>13.5</v>
      </c>
      <c r="F30">
        <v>8</v>
      </c>
      <c r="G30" s="23"/>
      <c r="H30">
        <v>7148</v>
      </c>
      <c r="I30" s="23"/>
      <c r="J30" s="23"/>
      <c r="K30" s="23"/>
      <c r="L30" s="23"/>
      <c r="M30" s="23"/>
      <c r="N30">
        <v>0.2</v>
      </c>
      <c r="O30">
        <v>0.39</v>
      </c>
      <c r="P30">
        <v>0</v>
      </c>
      <c r="Q30">
        <v>25</v>
      </c>
      <c r="R30">
        <v>65</v>
      </c>
      <c r="S30">
        <v>10</v>
      </c>
      <c r="T30" t="s">
        <v>69</v>
      </c>
      <c r="U30" t="s">
        <v>67</v>
      </c>
      <c r="V30" t="s">
        <v>73</v>
      </c>
    </row>
    <row r="31" spans="1:23" x14ac:dyDescent="0.35">
      <c r="A31" s="15">
        <v>44390</v>
      </c>
      <c r="B31" t="s">
        <v>10</v>
      </c>
      <c r="C31" t="s">
        <v>62</v>
      </c>
      <c r="D31">
        <v>15.9</v>
      </c>
      <c r="E31">
        <v>13.5</v>
      </c>
      <c r="F31">
        <v>8</v>
      </c>
      <c r="G31" s="23"/>
      <c r="H31">
        <v>7158</v>
      </c>
      <c r="I31" s="23"/>
      <c r="J31" s="23"/>
      <c r="K31" s="23"/>
      <c r="L31" s="23"/>
      <c r="M31" s="23"/>
      <c r="N31">
        <v>0.25</v>
      </c>
      <c r="O31">
        <v>0.56000000000000005</v>
      </c>
      <c r="P31">
        <v>0</v>
      </c>
      <c r="Q31">
        <v>30</v>
      </c>
      <c r="R31">
        <v>55</v>
      </c>
      <c r="S31">
        <v>15</v>
      </c>
      <c r="T31" t="s">
        <v>71</v>
      </c>
      <c r="U31" t="s">
        <v>67</v>
      </c>
      <c r="V31" t="s">
        <v>73</v>
      </c>
    </row>
    <row r="32" spans="1:23" x14ac:dyDescent="0.35">
      <c r="A32" s="15">
        <v>44390</v>
      </c>
      <c r="B32" t="s">
        <v>10</v>
      </c>
      <c r="C32" t="s">
        <v>62</v>
      </c>
      <c r="D32">
        <v>15.9</v>
      </c>
      <c r="E32">
        <v>13.5</v>
      </c>
      <c r="F32">
        <v>8</v>
      </c>
      <c r="G32" s="23"/>
      <c r="H32">
        <v>7165</v>
      </c>
      <c r="I32" s="23"/>
      <c r="J32" s="23"/>
      <c r="K32" s="23"/>
      <c r="L32" s="23"/>
      <c r="M32" s="23"/>
      <c r="N32">
        <v>0.25</v>
      </c>
      <c r="O32">
        <v>0.14000000000000001</v>
      </c>
      <c r="P32">
        <v>0</v>
      </c>
      <c r="Q32">
        <v>20</v>
      </c>
      <c r="R32">
        <v>65</v>
      </c>
      <c r="S32">
        <v>15</v>
      </c>
      <c r="T32" t="s">
        <v>69</v>
      </c>
      <c r="U32" t="s">
        <v>67</v>
      </c>
      <c r="V32" t="s">
        <v>73</v>
      </c>
    </row>
    <row r="33" spans="1:23" x14ac:dyDescent="0.35">
      <c r="A33" s="15">
        <v>44390</v>
      </c>
      <c r="B33" t="s">
        <v>10</v>
      </c>
      <c r="C33" t="s">
        <v>62</v>
      </c>
      <c r="D33">
        <v>15.9</v>
      </c>
      <c r="E33">
        <v>13.5</v>
      </c>
      <c r="F33">
        <v>8</v>
      </c>
      <c r="G33" s="23"/>
      <c r="H33">
        <v>7172</v>
      </c>
      <c r="I33" s="23"/>
      <c r="J33" s="23"/>
      <c r="K33" s="23"/>
      <c r="L33" s="23"/>
      <c r="M33" s="23"/>
      <c r="N33">
        <v>0.26</v>
      </c>
      <c r="O33">
        <f>35/8*0.8</f>
        <v>3.5</v>
      </c>
      <c r="P33">
        <v>0</v>
      </c>
      <c r="Q33">
        <v>20</v>
      </c>
      <c r="R33">
        <v>65</v>
      </c>
      <c r="S33">
        <v>15</v>
      </c>
      <c r="T33" t="s">
        <v>70</v>
      </c>
      <c r="U33" t="s">
        <v>67</v>
      </c>
      <c r="V33" t="s">
        <v>73</v>
      </c>
    </row>
    <row r="34" spans="1:23" x14ac:dyDescent="0.35">
      <c r="A34" s="15">
        <v>44390</v>
      </c>
      <c r="B34" t="s">
        <v>10</v>
      </c>
      <c r="C34" t="s">
        <v>62</v>
      </c>
      <c r="D34">
        <v>15.9</v>
      </c>
      <c r="E34">
        <v>13.5</v>
      </c>
      <c r="F34">
        <v>9</v>
      </c>
      <c r="G34" s="23"/>
      <c r="H34">
        <v>7183</v>
      </c>
      <c r="I34" s="23"/>
      <c r="J34" s="23"/>
      <c r="K34" s="23"/>
      <c r="L34" s="23"/>
      <c r="M34" s="23"/>
      <c r="N34">
        <v>0.2</v>
      </c>
      <c r="O34">
        <f>2/7*0.8</f>
        <v>0.22857142857142856</v>
      </c>
      <c r="P34">
        <v>0</v>
      </c>
      <c r="Q34">
        <v>40</v>
      </c>
      <c r="R34">
        <v>45</v>
      </c>
      <c r="S34">
        <v>15</v>
      </c>
      <c r="T34" t="s">
        <v>71</v>
      </c>
      <c r="U34" t="s">
        <v>67</v>
      </c>
      <c r="V34" t="s">
        <v>73</v>
      </c>
      <c r="W34" t="s">
        <v>74</v>
      </c>
    </row>
    <row r="35" spans="1:23" x14ac:dyDescent="0.35">
      <c r="A35" s="15">
        <v>44390</v>
      </c>
      <c r="B35" t="s">
        <v>10</v>
      </c>
      <c r="C35" t="s">
        <v>62</v>
      </c>
      <c r="D35">
        <v>15.9</v>
      </c>
      <c r="E35">
        <v>13.5</v>
      </c>
      <c r="F35">
        <v>9</v>
      </c>
      <c r="G35" s="23"/>
      <c r="H35">
        <v>7184</v>
      </c>
      <c r="I35" s="23"/>
      <c r="J35" s="23"/>
      <c r="K35" s="23"/>
      <c r="L35" s="23"/>
      <c r="M35" s="23"/>
      <c r="N35">
        <v>0.15</v>
      </c>
      <c r="O35">
        <f>2/3*0.8</f>
        <v>0.53333333333333333</v>
      </c>
      <c r="P35">
        <v>0</v>
      </c>
      <c r="Q35">
        <v>20</v>
      </c>
      <c r="R35">
        <v>65</v>
      </c>
      <c r="S35">
        <v>15</v>
      </c>
      <c r="T35" t="s">
        <v>69</v>
      </c>
      <c r="U35" t="s">
        <v>67</v>
      </c>
      <c r="V35" t="s">
        <v>73</v>
      </c>
      <c r="W35" t="s">
        <v>74</v>
      </c>
    </row>
    <row r="36" spans="1:23" x14ac:dyDescent="0.35">
      <c r="A36" s="15">
        <v>44390</v>
      </c>
      <c r="B36" t="s">
        <v>10</v>
      </c>
      <c r="C36" t="s">
        <v>62</v>
      </c>
      <c r="D36">
        <v>15.9</v>
      </c>
      <c r="E36">
        <v>13.5</v>
      </c>
      <c r="F36">
        <v>9</v>
      </c>
      <c r="G36" s="23"/>
      <c r="H36">
        <v>7190</v>
      </c>
      <c r="I36" s="23"/>
      <c r="J36" s="23"/>
      <c r="K36" s="23"/>
      <c r="L36" s="23"/>
      <c r="M36" s="23"/>
      <c r="N36">
        <v>0.23</v>
      </c>
      <c r="O36">
        <f>0.3*0.8</f>
        <v>0.24</v>
      </c>
      <c r="P36">
        <v>0</v>
      </c>
      <c r="Q36">
        <v>20</v>
      </c>
      <c r="R36">
        <v>65</v>
      </c>
      <c r="S36">
        <v>15</v>
      </c>
      <c r="T36" t="s">
        <v>69</v>
      </c>
      <c r="U36" t="s">
        <v>67</v>
      </c>
      <c r="V36" t="s">
        <v>73</v>
      </c>
    </row>
    <row r="37" spans="1:23" x14ac:dyDescent="0.35">
      <c r="A37" s="15">
        <v>44390</v>
      </c>
      <c r="B37" t="s">
        <v>10</v>
      </c>
      <c r="C37" t="s">
        <v>62</v>
      </c>
      <c r="D37">
        <v>15.9</v>
      </c>
      <c r="E37">
        <v>13.5</v>
      </c>
      <c r="F37">
        <v>9</v>
      </c>
      <c r="G37" s="23"/>
      <c r="H37">
        <v>7192</v>
      </c>
      <c r="I37" s="23"/>
      <c r="J37" s="23"/>
      <c r="K37" s="23"/>
      <c r="L37" s="23"/>
      <c r="M37" s="23"/>
      <c r="N37">
        <v>0.12</v>
      </c>
      <c r="O37">
        <f>3/2.56*0.8</f>
        <v>0.9375</v>
      </c>
      <c r="P37">
        <v>0</v>
      </c>
      <c r="Q37">
        <v>15</v>
      </c>
      <c r="R37">
        <v>70</v>
      </c>
      <c r="S37">
        <v>15</v>
      </c>
      <c r="T37" t="s">
        <v>69</v>
      </c>
      <c r="U37" t="s">
        <v>67</v>
      </c>
      <c r="V37" t="s">
        <v>73</v>
      </c>
      <c r="W37" t="s">
        <v>74</v>
      </c>
    </row>
    <row r="38" spans="1:23" x14ac:dyDescent="0.35">
      <c r="A38" s="15">
        <v>44393</v>
      </c>
      <c r="B38" t="s">
        <v>10</v>
      </c>
      <c r="C38" t="s">
        <v>62</v>
      </c>
      <c r="D38">
        <v>14.6</v>
      </c>
      <c r="E38">
        <v>13.3</v>
      </c>
      <c r="F38">
        <v>1</v>
      </c>
      <c r="G38" s="23"/>
      <c r="H38">
        <v>6026</v>
      </c>
      <c r="I38" s="23"/>
      <c r="J38" s="23"/>
      <c r="K38" s="23"/>
      <c r="L38" s="23"/>
      <c r="M38" s="23"/>
      <c r="N38">
        <v>0.2</v>
      </c>
      <c r="O38">
        <v>0.65</v>
      </c>
      <c r="P38">
        <v>0</v>
      </c>
      <c r="Q38">
        <v>0</v>
      </c>
      <c r="R38">
        <v>75</v>
      </c>
      <c r="S38">
        <v>25</v>
      </c>
      <c r="T38" t="s">
        <v>69</v>
      </c>
      <c r="U38" t="s">
        <v>67</v>
      </c>
      <c r="V38" t="s">
        <v>68</v>
      </c>
    </row>
    <row r="39" spans="1:23" x14ac:dyDescent="0.35">
      <c r="A39" s="15">
        <v>44393</v>
      </c>
      <c r="B39" t="s">
        <v>10</v>
      </c>
      <c r="C39" t="s">
        <v>62</v>
      </c>
      <c r="D39">
        <v>14.6</v>
      </c>
      <c r="E39">
        <v>13.3</v>
      </c>
      <c r="F39">
        <v>1</v>
      </c>
      <c r="G39" s="23"/>
      <c r="H39">
        <v>6030</v>
      </c>
      <c r="I39" s="23"/>
      <c r="J39" s="23"/>
      <c r="K39" s="23"/>
      <c r="L39" s="23"/>
      <c r="M39" s="23"/>
      <c r="N39">
        <v>0.15</v>
      </c>
      <c r="O39">
        <v>0.26</v>
      </c>
      <c r="P39">
        <v>0</v>
      </c>
      <c r="Q39">
        <v>15</v>
      </c>
      <c r="R39">
        <v>65</v>
      </c>
      <c r="S39">
        <v>20</v>
      </c>
      <c r="T39" t="s">
        <v>69</v>
      </c>
      <c r="U39" t="s">
        <v>67</v>
      </c>
      <c r="V39" t="s">
        <v>68</v>
      </c>
    </row>
    <row r="40" spans="1:23" x14ac:dyDescent="0.35">
      <c r="A40" s="15">
        <v>44393</v>
      </c>
      <c r="B40" t="s">
        <v>10</v>
      </c>
      <c r="C40" t="s">
        <v>62</v>
      </c>
      <c r="D40">
        <v>14.6</v>
      </c>
      <c r="E40">
        <v>13.3</v>
      </c>
      <c r="F40">
        <v>1</v>
      </c>
      <c r="G40" s="23"/>
      <c r="H40">
        <v>6031</v>
      </c>
      <c r="I40" s="23"/>
      <c r="J40" s="23"/>
      <c r="K40" s="23"/>
      <c r="L40" s="23"/>
      <c r="M40" s="23"/>
      <c r="N40">
        <v>0.2</v>
      </c>
      <c r="O40">
        <v>0.5</v>
      </c>
      <c r="P40">
        <v>0</v>
      </c>
      <c r="Q40">
        <v>15</v>
      </c>
      <c r="R40">
        <v>65</v>
      </c>
      <c r="S40">
        <v>20</v>
      </c>
      <c r="T40" t="s">
        <v>69</v>
      </c>
      <c r="U40" t="s">
        <v>67</v>
      </c>
      <c r="V40" t="s">
        <v>68</v>
      </c>
    </row>
    <row r="41" spans="1:23" x14ac:dyDescent="0.35">
      <c r="A41" s="15">
        <v>44393</v>
      </c>
      <c r="B41" t="s">
        <v>10</v>
      </c>
      <c r="C41" t="s">
        <v>62</v>
      </c>
      <c r="D41">
        <v>14.6</v>
      </c>
      <c r="E41">
        <v>13.3</v>
      </c>
      <c r="F41">
        <v>1</v>
      </c>
      <c r="G41" s="23"/>
      <c r="H41">
        <v>6034</v>
      </c>
      <c r="I41" s="23"/>
      <c r="J41" s="23"/>
      <c r="K41" s="23"/>
      <c r="L41" s="23"/>
      <c r="M41" s="23"/>
      <c r="N41">
        <v>0.2</v>
      </c>
      <c r="O41">
        <v>0.64</v>
      </c>
      <c r="P41">
        <v>0</v>
      </c>
      <c r="Q41">
        <v>40</v>
      </c>
      <c r="R41">
        <v>50</v>
      </c>
      <c r="S41">
        <v>10</v>
      </c>
      <c r="T41" t="s">
        <v>70</v>
      </c>
      <c r="U41" t="s">
        <v>67</v>
      </c>
      <c r="V41" t="s">
        <v>68</v>
      </c>
      <c r="W41" t="s">
        <v>77</v>
      </c>
    </row>
    <row r="42" spans="1:23" x14ac:dyDescent="0.35">
      <c r="A42" s="15">
        <v>44393</v>
      </c>
      <c r="B42" t="s">
        <v>10</v>
      </c>
      <c r="C42" t="s">
        <v>62</v>
      </c>
      <c r="D42">
        <v>14.6</v>
      </c>
      <c r="E42">
        <v>13.3</v>
      </c>
      <c r="F42">
        <v>2</v>
      </c>
      <c r="G42" s="23"/>
      <c r="H42">
        <v>6050</v>
      </c>
      <c r="I42" s="23"/>
      <c r="J42" s="23"/>
      <c r="K42" s="23"/>
      <c r="L42" s="23"/>
      <c r="M42" s="23"/>
      <c r="N42">
        <v>0.2</v>
      </c>
      <c r="O42">
        <v>0.57999999999999996</v>
      </c>
      <c r="P42">
        <v>0</v>
      </c>
      <c r="Q42">
        <v>30</v>
      </c>
      <c r="R42">
        <v>60</v>
      </c>
      <c r="S42">
        <v>10</v>
      </c>
      <c r="T42" t="s">
        <v>69</v>
      </c>
      <c r="U42" t="s">
        <v>67</v>
      </c>
      <c r="V42" t="s">
        <v>68</v>
      </c>
    </row>
    <row r="43" spans="1:23" x14ac:dyDescent="0.35">
      <c r="A43" s="15">
        <v>44393</v>
      </c>
      <c r="B43" t="s">
        <v>10</v>
      </c>
      <c r="C43" t="s">
        <v>62</v>
      </c>
      <c r="D43">
        <v>14.6</v>
      </c>
      <c r="E43">
        <v>13.3</v>
      </c>
      <c r="F43">
        <v>2</v>
      </c>
      <c r="G43" s="23"/>
      <c r="H43">
        <v>6052</v>
      </c>
      <c r="I43" s="23"/>
      <c r="J43" s="23"/>
      <c r="K43" s="23"/>
      <c r="L43" s="23"/>
      <c r="M43" s="23"/>
      <c r="N43">
        <v>0.2</v>
      </c>
      <c r="O43">
        <v>0.81</v>
      </c>
      <c r="P43">
        <v>0</v>
      </c>
      <c r="Q43">
        <v>50</v>
      </c>
      <c r="R43">
        <v>40</v>
      </c>
      <c r="S43">
        <v>10</v>
      </c>
      <c r="T43" t="s">
        <v>69</v>
      </c>
      <c r="U43" t="s">
        <v>67</v>
      </c>
      <c r="V43" t="s">
        <v>68</v>
      </c>
    </row>
    <row r="44" spans="1:23" x14ac:dyDescent="0.35">
      <c r="A44" s="15">
        <v>44393</v>
      </c>
      <c r="B44" t="s">
        <v>10</v>
      </c>
      <c r="C44" t="s">
        <v>62</v>
      </c>
      <c r="D44">
        <v>14.6</v>
      </c>
      <c r="E44">
        <v>13.3</v>
      </c>
      <c r="F44">
        <v>2</v>
      </c>
      <c r="G44" s="23"/>
      <c r="H44">
        <v>6057</v>
      </c>
      <c r="I44" s="23"/>
      <c r="J44" s="23"/>
      <c r="K44" s="23"/>
      <c r="L44" s="23"/>
      <c r="M44" s="23"/>
      <c r="N44">
        <v>0.2</v>
      </c>
      <c r="O44">
        <v>0.6</v>
      </c>
      <c r="P44">
        <v>0</v>
      </c>
      <c r="Q44">
        <v>60</v>
      </c>
      <c r="R44">
        <v>30</v>
      </c>
      <c r="S44">
        <v>10</v>
      </c>
      <c r="T44" t="s">
        <v>69</v>
      </c>
      <c r="U44" t="s">
        <v>67</v>
      </c>
      <c r="V44" t="s">
        <v>68</v>
      </c>
    </row>
    <row r="45" spans="1:23" x14ac:dyDescent="0.35">
      <c r="A45" s="15">
        <v>44393</v>
      </c>
      <c r="B45" t="s">
        <v>10</v>
      </c>
      <c r="C45" t="s">
        <v>62</v>
      </c>
      <c r="D45">
        <v>14.6</v>
      </c>
      <c r="E45">
        <v>13.3</v>
      </c>
      <c r="F45">
        <v>2</v>
      </c>
      <c r="G45" s="23"/>
      <c r="H45">
        <v>6059</v>
      </c>
      <c r="I45" s="23"/>
      <c r="J45" s="23"/>
      <c r="K45" s="23"/>
      <c r="L45" s="23"/>
      <c r="M45" s="23"/>
      <c r="N45">
        <v>0.15</v>
      </c>
      <c r="O45">
        <v>0.39</v>
      </c>
      <c r="P45">
        <v>0</v>
      </c>
      <c r="Q45">
        <v>10</v>
      </c>
      <c r="R45">
        <v>70</v>
      </c>
      <c r="S45">
        <v>20</v>
      </c>
      <c r="T45" t="s">
        <v>69</v>
      </c>
      <c r="U45" t="s">
        <v>67</v>
      </c>
      <c r="V45" t="s">
        <v>68</v>
      </c>
      <c r="W45" t="s">
        <v>72</v>
      </c>
    </row>
    <row r="46" spans="1:23" x14ac:dyDescent="0.35">
      <c r="A46" s="15">
        <v>44393</v>
      </c>
      <c r="B46" t="s">
        <v>10</v>
      </c>
      <c r="C46" t="s">
        <v>62</v>
      </c>
      <c r="D46">
        <v>14.6</v>
      </c>
      <c r="E46">
        <v>13.3</v>
      </c>
      <c r="F46">
        <v>3</v>
      </c>
      <c r="G46" s="23"/>
      <c r="H46">
        <v>6083</v>
      </c>
      <c r="I46" s="23"/>
      <c r="J46" s="23"/>
      <c r="K46" s="23"/>
      <c r="L46" s="23"/>
      <c r="M46" s="23"/>
      <c r="N46">
        <v>0.22</v>
      </c>
      <c r="O46">
        <v>0.43</v>
      </c>
      <c r="P46">
        <v>0</v>
      </c>
      <c r="Q46">
        <v>20</v>
      </c>
      <c r="R46">
        <v>70</v>
      </c>
      <c r="S46">
        <v>10</v>
      </c>
      <c r="T46" t="s">
        <v>69</v>
      </c>
      <c r="U46" t="s">
        <v>67</v>
      </c>
      <c r="V46" t="s">
        <v>68</v>
      </c>
    </row>
    <row r="47" spans="1:23" x14ac:dyDescent="0.35">
      <c r="A47" s="15">
        <v>44393</v>
      </c>
      <c r="B47" t="s">
        <v>10</v>
      </c>
      <c r="C47" t="s">
        <v>62</v>
      </c>
      <c r="D47">
        <v>14.6</v>
      </c>
      <c r="E47">
        <v>13.3</v>
      </c>
      <c r="F47">
        <v>3</v>
      </c>
      <c r="G47" s="23"/>
      <c r="H47">
        <v>6086</v>
      </c>
      <c r="I47" s="23"/>
      <c r="J47" s="23"/>
      <c r="K47" s="23"/>
      <c r="L47" s="23"/>
      <c r="M47" s="23"/>
      <c r="N47">
        <v>0.2</v>
      </c>
      <c r="O47">
        <v>0.8</v>
      </c>
      <c r="P47">
        <v>0</v>
      </c>
      <c r="Q47">
        <v>30</v>
      </c>
      <c r="R47">
        <v>55</v>
      </c>
      <c r="S47">
        <v>15</v>
      </c>
      <c r="T47" t="s">
        <v>69</v>
      </c>
      <c r="U47" t="s">
        <v>67</v>
      </c>
      <c r="V47" t="s">
        <v>68</v>
      </c>
    </row>
    <row r="48" spans="1:23" x14ac:dyDescent="0.35">
      <c r="A48" s="15">
        <v>44393</v>
      </c>
      <c r="B48" t="s">
        <v>10</v>
      </c>
      <c r="C48" t="s">
        <v>62</v>
      </c>
      <c r="D48">
        <v>14.6</v>
      </c>
      <c r="E48">
        <v>13.3</v>
      </c>
      <c r="F48">
        <v>3</v>
      </c>
      <c r="G48" s="23"/>
      <c r="H48">
        <v>6091</v>
      </c>
      <c r="I48" s="23"/>
      <c r="J48" s="23"/>
      <c r="K48" s="23"/>
      <c r="L48" s="23"/>
      <c r="M48" s="23"/>
      <c r="N48">
        <v>0.22</v>
      </c>
      <c r="O48">
        <v>0.51</v>
      </c>
      <c r="P48">
        <v>0</v>
      </c>
      <c r="Q48">
        <v>15</v>
      </c>
      <c r="R48">
        <v>75</v>
      </c>
      <c r="S48">
        <v>10</v>
      </c>
      <c r="T48" t="s">
        <v>70</v>
      </c>
      <c r="U48" t="s">
        <v>67</v>
      </c>
      <c r="V48" t="s">
        <v>68</v>
      </c>
      <c r="W48" t="s">
        <v>78</v>
      </c>
    </row>
    <row r="49" spans="1:23" x14ac:dyDescent="0.35">
      <c r="A49" s="15">
        <v>44393</v>
      </c>
      <c r="B49" t="s">
        <v>10</v>
      </c>
      <c r="C49" t="s">
        <v>62</v>
      </c>
      <c r="D49">
        <v>14.6</v>
      </c>
      <c r="E49">
        <v>13.3</v>
      </c>
      <c r="F49">
        <v>3</v>
      </c>
      <c r="G49" s="23"/>
      <c r="H49">
        <v>6094</v>
      </c>
      <c r="I49" s="23"/>
      <c r="J49" s="23"/>
      <c r="K49" s="23"/>
      <c r="L49" s="23"/>
      <c r="M49" s="23"/>
      <c r="N49">
        <v>0.25</v>
      </c>
      <c r="O49">
        <v>0.32</v>
      </c>
      <c r="P49">
        <v>0</v>
      </c>
      <c r="Q49">
        <v>25</v>
      </c>
      <c r="R49">
        <v>70</v>
      </c>
      <c r="S49">
        <v>5</v>
      </c>
      <c r="T49" t="s">
        <v>69</v>
      </c>
      <c r="U49" t="s">
        <v>67</v>
      </c>
      <c r="V49" t="s">
        <v>68</v>
      </c>
      <c r="W49" t="s">
        <v>78</v>
      </c>
    </row>
    <row r="50" spans="1:23" x14ac:dyDescent="0.35">
      <c r="A50" s="15">
        <v>44393</v>
      </c>
      <c r="B50" t="s">
        <v>10</v>
      </c>
      <c r="C50" t="s">
        <v>62</v>
      </c>
      <c r="D50">
        <v>14.6</v>
      </c>
      <c r="E50">
        <v>13.3</v>
      </c>
      <c r="F50">
        <v>4</v>
      </c>
      <c r="G50" s="23"/>
      <c r="H50">
        <v>6165</v>
      </c>
      <c r="I50" s="23"/>
      <c r="J50" s="23"/>
      <c r="K50" s="23"/>
      <c r="L50" s="23"/>
      <c r="M50" s="23"/>
      <c r="N50">
        <v>0.3</v>
      </c>
      <c r="O50">
        <v>0.28999999999999998</v>
      </c>
      <c r="P50">
        <v>0</v>
      </c>
      <c r="Q50">
        <v>30</v>
      </c>
      <c r="R50">
        <v>50</v>
      </c>
      <c r="S50">
        <v>20</v>
      </c>
      <c r="T50" t="s">
        <v>70</v>
      </c>
      <c r="U50" t="s">
        <v>67</v>
      </c>
      <c r="V50" t="s">
        <v>79</v>
      </c>
      <c r="W50" t="s">
        <v>72</v>
      </c>
    </row>
    <row r="51" spans="1:23" x14ac:dyDescent="0.35">
      <c r="A51" s="15">
        <v>44393</v>
      </c>
      <c r="B51" t="s">
        <v>10</v>
      </c>
      <c r="C51" t="s">
        <v>62</v>
      </c>
      <c r="D51">
        <v>14.6</v>
      </c>
      <c r="E51">
        <v>13.3</v>
      </c>
      <c r="F51">
        <v>4</v>
      </c>
      <c r="G51" s="23"/>
      <c r="H51">
        <v>6169</v>
      </c>
      <c r="I51" s="23"/>
      <c r="J51" s="23"/>
      <c r="K51" s="23"/>
      <c r="L51" s="23"/>
      <c r="M51" s="23"/>
      <c r="N51">
        <v>0.25</v>
      </c>
      <c r="O51">
        <v>0.78</v>
      </c>
      <c r="P51">
        <v>0</v>
      </c>
      <c r="Q51">
        <v>25</v>
      </c>
      <c r="R51">
        <v>60</v>
      </c>
      <c r="S51">
        <v>15</v>
      </c>
      <c r="T51" t="s">
        <v>69</v>
      </c>
      <c r="U51" t="s">
        <v>67</v>
      </c>
      <c r="V51" t="s">
        <v>79</v>
      </c>
      <c r="W51" t="s">
        <v>72</v>
      </c>
    </row>
    <row r="52" spans="1:23" x14ac:dyDescent="0.35">
      <c r="A52" s="15">
        <v>44393</v>
      </c>
      <c r="B52" t="s">
        <v>10</v>
      </c>
      <c r="C52" t="s">
        <v>62</v>
      </c>
      <c r="D52">
        <v>14.6</v>
      </c>
      <c r="E52">
        <v>13.3</v>
      </c>
      <c r="F52">
        <v>4</v>
      </c>
      <c r="G52" s="23"/>
      <c r="H52">
        <v>6172</v>
      </c>
      <c r="I52" s="23"/>
      <c r="J52" s="23"/>
      <c r="K52" s="23"/>
      <c r="L52" s="23"/>
      <c r="M52" s="23"/>
      <c r="N52">
        <v>0.15</v>
      </c>
      <c r="O52">
        <v>0.66</v>
      </c>
      <c r="P52">
        <v>0</v>
      </c>
      <c r="Q52">
        <v>50</v>
      </c>
      <c r="R52">
        <v>30</v>
      </c>
      <c r="S52">
        <v>20</v>
      </c>
      <c r="T52" t="s">
        <v>71</v>
      </c>
      <c r="U52" t="s">
        <v>67</v>
      </c>
      <c r="V52" t="s">
        <v>79</v>
      </c>
      <c r="W52" t="s">
        <v>72</v>
      </c>
    </row>
    <row r="53" spans="1:23" x14ac:dyDescent="0.35">
      <c r="A53" s="15">
        <v>44393</v>
      </c>
      <c r="B53" t="s">
        <v>10</v>
      </c>
      <c r="C53" t="s">
        <v>62</v>
      </c>
      <c r="D53">
        <v>14.6</v>
      </c>
      <c r="E53">
        <v>13.3</v>
      </c>
      <c r="F53">
        <v>4</v>
      </c>
      <c r="G53" s="23"/>
      <c r="H53">
        <v>6175</v>
      </c>
      <c r="I53" s="23"/>
      <c r="J53" s="23"/>
      <c r="K53" s="23"/>
      <c r="L53" s="23"/>
      <c r="M53" s="23"/>
      <c r="N53">
        <v>0.25</v>
      </c>
      <c r="O53">
        <v>0.45</v>
      </c>
      <c r="P53">
        <v>0</v>
      </c>
      <c r="Q53">
        <v>45</v>
      </c>
      <c r="R53">
        <v>40</v>
      </c>
      <c r="S53">
        <v>15</v>
      </c>
      <c r="T53" t="s">
        <v>69</v>
      </c>
      <c r="U53" t="s">
        <v>67</v>
      </c>
      <c r="V53" t="s">
        <v>79</v>
      </c>
      <c r="W53" t="s">
        <v>72</v>
      </c>
    </row>
    <row r="54" spans="1:23" x14ac:dyDescent="0.35">
      <c r="A54" s="15">
        <v>44393</v>
      </c>
      <c r="B54" t="s">
        <v>10</v>
      </c>
      <c r="C54" t="s">
        <v>62</v>
      </c>
      <c r="D54">
        <v>14.6</v>
      </c>
      <c r="E54">
        <v>13.3</v>
      </c>
      <c r="F54">
        <v>5</v>
      </c>
      <c r="G54" s="23"/>
      <c r="H54">
        <v>6181</v>
      </c>
      <c r="I54" s="23"/>
      <c r="J54" s="23"/>
      <c r="K54" s="23"/>
      <c r="L54" s="23"/>
      <c r="M54" s="23"/>
      <c r="N54">
        <v>0.25</v>
      </c>
      <c r="O54">
        <v>0.89</v>
      </c>
      <c r="P54">
        <v>0</v>
      </c>
      <c r="Q54">
        <v>30</v>
      </c>
      <c r="R54">
        <v>55</v>
      </c>
      <c r="S54">
        <v>15</v>
      </c>
      <c r="T54" t="s">
        <v>69</v>
      </c>
      <c r="U54" t="s">
        <v>67</v>
      </c>
      <c r="V54" t="s">
        <v>79</v>
      </c>
      <c r="W54" t="s">
        <v>72</v>
      </c>
    </row>
    <row r="55" spans="1:23" x14ac:dyDescent="0.35">
      <c r="A55" s="15">
        <v>44393</v>
      </c>
      <c r="B55" t="s">
        <v>10</v>
      </c>
      <c r="C55" t="s">
        <v>62</v>
      </c>
      <c r="D55">
        <v>14.6</v>
      </c>
      <c r="E55">
        <v>13.3</v>
      </c>
      <c r="F55">
        <v>5</v>
      </c>
      <c r="G55" s="23"/>
      <c r="H55">
        <v>6183</v>
      </c>
      <c r="I55" s="23"/>
      <c r="J55" s="23"/>
      <c r="K55" s="23"/>
      <c r="L55" s="23"/>
      <c r="M55" s="23"/>
      <c r="N55">
        <v>0.38</v>
      </c>
      <c r="O55">
        <v>0.8</v>
      </c>
      <c r="P55">
        <v>0</v>
      </c>
      <c r="Q55">
        <v>30</v>
      </c>
      <c r="R55">
        <v>50</v>
      </c>
      <c r="S55">
        <v>20</v>
      </c>
      <c r="T55" t="s">
        <v>70</v>
      </c>
      <c r="U55" t="s">
        <v>67</v>
      </c>
      <c r="V55" t="s">
        <v>79</v>
      </c>
      <c r="W55" t="s">
        <v>72</v>
      </c>
    </row>
    <row r="56" spans="1:23" x14ac:dyDescent="0.35">
      <c r="A56" s="15">
        <v>44393</v>
      </c>
      <c r="B56" t="s">
        <v>10</v>
      </c>
      <c r="C56" t="s">
        <v>62</v>
      </c>
      <c r="D56">
        <v>14.6</v>
      </c>
      <c r="E56">
        <v>13.3</v>
      </c>
      <c r="F56">
        <v>5</v>
      </c>
      <c r="G56" s="23"/>
      <c r="H56">
        <v>6190</v>
      </c>
      <c r="I56" s="23"/>
      <c r="J56" s="23"/>
      <c r="K56" s="23"/>
      <c r="L56" s="23"/>
      <c r="M56" s="23"/>
      <c r="N56">
        <v>0.23</v>
      </c>
      <c r="O56">
        <v>0.56000000000000005</v>
      </c>
      <c r="P56">
        <v>0</v>
      </c>
      <c r="Q56">
        <v>50</v>
      </c>
      <c r="R56">
        <v>30</v>
      </c>
      <c r="S56">
        <v>20</v>
      </c>
      <c r="T56" t="s">
        <v>70</v>
      </c>
      <c r="U56" t="s">
        <v>67</v>
      </c>
      <c r="V56" t="s">
        <v>79</v>
      </c>
      <c r="W56" t="s">
        <v>72</v>
      </c>
    </row>
    <row r="57" spans="1:23" x14ac:dyDescent="0.35">
      <c r="A57" s="15">
        <v>44393</v>
      </c>
      <c r="B57" t="s">
        <v>10</v>
      </c>
      <c r="C57" t="s">
        <v>62</v>
      </c>
      <c r="D57">
        <v>14.6</v>
      </c>
      <c r="E57">
        <v>13.3</v>
      </c>
      <c r="F57">
        <v>5</v>
      </c>
      <c r="G57" s="23"/>
      <c r="H57">
        <v>6196</v>
      </c>
      <c r="I57" s="23"/>
      <c r="J57" s="23"/>
      <c r="K57" s="23"/>
      <c r="L57" s="23"/>
      <c r="M57" s="23"/>
      <c r="N57">
        <v>0.2</v>
      </c>
      <c r="O57">
        <v>0.63</v>
      </c>
      <c r="P57">
        <v>0</v>
      </c>
      <c r="Q57">
        <v>45</v>
      </c>
      <c r="R57">
        <v>40</v>
      </c>
      <c r="S57">
        <v>15</v>
      </c>
      <c r="T57" t="s">
        <v>70</v>
      </c>
      <c r="U57" t="s">
        <v>67</v>
      </c>
      <c r="V57" t="s">
        <v>79</v>
      </c>
      <c r="W57" t="s">
        <v>72</v>
      </c>
    </row>
    <row r="58" spans="1:23" x14ac:dyDescent="0.35">
      <c r="A58" s="15">
        <v>44393</v>
      </c>
      <c r="B58" t="s">
        <v>10</v>
      </c>
      <c r="C58" t="s">
        <v>62</v>
      </c>
      <c r="D58">
        <v>14.6</v>
      </c>
      <c r="E58">
        <v>13.3</v>
      </c>
      <c r="F58">
        <v>6</v>
      </c>
      <c r="G58" s="23"/>
      <c r="H58">
        <v>6206</v>
      </c>
      <c r="I58" s="23"/>
      <c r="J58" s="23"/>
      <c r="K58" s="23"/>
      <c r="L58" s="23"/>
      <c r="M58" s="23"/>
      <c r="N58">
        <v>0.35</v>
      </c>
      <c r="O58">
        <v>0.25</v>
      </c>
      <c r="P58">
        <v>0</v>
      </c>
      <c r="Q58">
        <v>45</v>
      </c>
      <c r="R58">
        <v>40</v>
      </c>
      <c r="S58">
        <v>15</v>
      </c>
      <c r="T58" t="s">
        <v>69</v>
      </c>
      <c r="U58" t="s">
        <v>67</v>
      </c>
      <c r="V58" t="s">
        <v>79</v>
      </c>
      <c r="W58" t="s">
        <v>72</v>
      </c>
    </row>
    <row r="59" spans="1:23" x14ac:dyDescent="0.35">
      <c r="A59" s="15">
        <v>44393</v>
      </c>
      <c r="B59" t="s">
        <v>10</v>
      </c>
      <c r="C59" t="s">
        <v>62</v>
      </c>
      <c r="D59">
        <v>14.6</v>
      </c>
      <c r="E59">
        <v>13.3</v>
      </c>
      <c r="F59">
        <v>6</v>
      </c>
      <c r="G59" s="23"/>
      <c r="H59">
        <v>6209</v>
      </c>
      <c r="I59" s="23"/>
      <c r="J59" s="23"/>
      <c r="K59" s="23"/>
      <c r="L59" s="23"/>
      <c r="M59" s="23"/>
      <c r="N59">
        <v>0.25</v>
      </c>
      <c r="O59">
        <v>0.95</v>
      </c>
      <c r="P59">
        <v>0</v>
      </c>
      <c r="Q59">
        <v>15</v>
      </c>
      <c r="R59">
        <v>65</v>
      </c>
      <c r="S59">
        <v>20</v>
      </c>
      <c r="T59" t="s">
        <v>70</v>
      </c>
      <c r="U59" t="s">
        <v>67</v>
      </c>
      <c r="V59" t="s">
        <v>79</v>
      </c>
      <c r="W59" t="s">
        <v>72</v>
      </c>
    </row>
    <row r="60" spans="1:23" x14ac:dyDescent="0.35">
      <c r="A60" s="15">
        <v>44393</v>
      </c>
      <c r="B60" t="s">
        <v>10</v>
      </c>
      <c r="C60" t="s">
        <v>62</v>
      </c>
      <c r="D60">
        <v>14.6</v>
      </c>
      <c r="E60">
        <v>13.3</v>
      </c>
      <c r="F60">
        <v>6</v>
      </c>
      <c r="G60" s="23"/>
      <c r="H60">
        <v>6219</v>
      </c>
      <c r="I60" s="23"/>
      <c r="J60" s="23"/>
      <c r="K60" s="23"/>
      <c r="L60" s="23"/>
      <c r="M60" s="23"/>
      <c r="N60">
        <v>0.22</v>
      </c>
      <c r="O60">
        <v>0.56000000000000005</v>
      </c>
      <c r="P60">
        <v>0</v>
      </c>
      <c r="Q60">
        <v>50</v>
      </c>
      <c r="R60">
        <v>35</v>
      </c>
      <c r="S60">
        <v>15</v>
      </c>
      <c r="T60" t="s">
        <v>69</v>
      </c>
      <c r="U60" t="s">
        <v>67</v>
      </c>
      <c r="V60" t="s">
        <v>79</v>
      </c>
      <c r="W60" t="s">
        <v>72</v>
      </c>
    </row>
    <row r="61" spans="1:23" x14ac:dyDescent="0.35">
      <c r="A61" s="15">
        <v>44393</v>
      </c>
      <c r="B61" t="s">
        <v>10</v>
      </c>
      <c r="C61" t="s">
        <v>62</v>
      </c>
      <c r="D61">
        <v>14.6</v>
      </c>
      <c r="E61">
        <v>13.3</v>
      </c>
      <c r="F61">
        <v>6</v>
      </c>
      <c r="G61" s="23"/>
      <c r="H61">
        <v>6221</v>
      </c>
      <c r="I61" s="23"/>
      <c r="J61" s="23"/>
      <c r="K61" s="23"/>
      <c r="L61" s="23"/>
      <c r="M61" s="23"/>
      <c r="N61">
        <v>0.33</v>
      </c>
      <c r="O61">
        <v>0.55000000000000004</v>
      </c>
      <c r="P61">
        <v>0</v>
      </c>
      <c r="Q61">
        <v>15</v>
      </c>
      <c r="R61">
        <v>60</v>
      </c>
      <c r="S61">
        <v>25</v>
      </c>
      <c r="T61" t="s">
        <v>70</v>
      </c>
      <c r="U61" t="s">
        <v>67</v>
      </c>
      <c r="V61" t="s">
        <v>79</v>
      </c>
      <c r="W61" t="s">
        <v>72</v>
      </c>
    </row>
  </sheetData>
  <autoFilter ref="A1:W61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!Readme</vt:lpstr>
      <vt:lpstr>CollectionInfo2019</vt:lpstr>
      <vt:lpstr>CollectionInfo2020</vt:lpstr>
      <vt:lpstr>2021EventSummary</vt:lpstr>
      <vt:lpstr>CollectionInfo2021</vt:lpstr>
      <vt:lpstr>CollectionInfo2019!Print_Area</vt:lpstr>
    </vt:vector>
  </TitlesOfParts>
  <Company>National Park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DFong</dc:creator>
  <cp:lastModifiedBy>Fong, Darren R</cp:lastModifiedBy>
  <cp:lastPrinted>2022-06-01T18:55:52Z</cp:lastPrinted>
  <dcterms:created xsi:type="dcterms:W3CDTF">2019-07-15T18:13:59Z</dcterms:created>
  <dcterms:modified xsi:type="dcterms:W3CDTF">2026-02-19T23:18:53Z</dcterms:modified>
</cp:coreProperties>
</file>