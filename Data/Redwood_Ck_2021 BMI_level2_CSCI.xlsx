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M:\Divisions\Natural Resources\Wildlife\Invertebrates\FRESHWATER\I&amp;M\JLee_RW_TV\MUWOAssessment\Data\"/>
    </mc:Choice>
  </mc:AlternateContent>
  <xr:revisionPtr revIDLastSave="0" documentId="13_ncr:1_{A817E980-67F5-4E62-A417-FC82E8F7BBD7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!Readme" sheetId="11" r:id="rId1"/>
    <sheet name="JonLeeComments" sheetId="9" r:id="rId2"/>
    <sheet name=" Taxa list level 2" sheetId="4" r:id="rId3"/>
    <sheet name="CSCI" sheetId="8" r:id="rId4"/>
    <sheet name="CountsbyOrder-Class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15" i="8" l="1"/>
  <c r="G614" i="8"/>
  <c r="G575" i="8"/>
  <c r="G574" i="8"/>
  <c r="G521" i="8"/>
  <c r="G520" i="8"/>
  <c r="G469" i="8"/>
  <c r="G468" i="8"/>
  <c r="G431" i="8"/>
  <c r="G430" i="8"/>
  <c r="G397" i="8"/>
  <c r="G396" i="8"/>
  <c r="G351" i="8"/>
  <c r="G350" i="8"/>
  <c r="G327" i="8"/>
  <c r="G326" i="8"/>
  <c r="G284" i="8"/>
  <c r="G283" i="8"/>
  <c r="G251" i="8"/>
  <c r="G250" i="8"/>
  <c r="G208" i="8"/>
  <c r="G207" i="8"/>
  <c r="G171" i="8"/>
  <c r="G170" i="8"/>
  <c r="G126" i="8"/>
  <c r="G125" i="8"/>
  <c r="G79" i="8"/>
  <c r="G78" i="8"/>
  <c r="G34" i="8"/>
  <c r="G33" i="8"/>
  <c r="L150" i="4"/>
  <c r="AH149" i="4"/>
  <c r="AF148" i="4"/>
  <c r="AF149" i="4"/>
  <c r="AJ149" i="4"/>
  <c r="AJ148" i="4"/>
  <c r="AJ150" i="4"/>
  <c r="AJ156" i="4"/>
  <c r="AJ153" i="4"/>
  <c r="AJ152" i="4"/>
  <c r="AJ151" i="4"/>
  <c r="AH148" i="4"/>
  <c r="AH150" i="4"/>
  <c r="AH156" i="4"/>
  <c r="AH153" i="4"/>
  <c r="AH152" i="4"/>
  <c r="AH151" i="4"/>
  <c r="AF150" i="4"/>
  <c r="AF156" i="4"/>
  <c r="AF153" i="4"/>
  <c r="AF152" i="4"/>
  <c r="AF151" i="4"/>
  <c r="AD149" i="4"/>
  <c r="AD148" i="4"/>
  <c r="AD150" i="4"/>
  <c r="AD156" i="4"/>
  <c r="AD153" i="4"/>
  <c r="AD152" i="4"/>
  <c r="AD151" i="4"/>
  <c r="AB149" i="4"/>
  <c r="AB148" i="4"/>
  <c r="AB150" i="4"/>
  <c r="AB156" i="4"/>
  <c r="AB153" i="4"/>
  <c r="AB152" i="4"/>
  <c r="AB151" i="4"/>
  <c r="Z149" i="4"/>
  <c r="Z148" i="4"/>
  <c r="Z150" i="4"/>
  <c r="Z156" i="4"/>
  <c r="Z153" i="4"/>
  <c r="Z152" i="4"/>
  <c r="Z151" i="4"/>
  <c r="X149" i="4"/>
  <c r="V148" i="4"/>
  <c r="V153" i="4"/>
  <c r="V152" i="4"/>
  <c r="V151" i="4"/>
  <c r="V150" i="4"/>
  <c r="V149" i="4"/>
  <c r="T149" i="4"/>
  <c r="R150" i="4"/>
  <c r="R149" i="4"/>
  <c r="P148" i="4"/>
  <c r="P153" i="4"/>
  <c r="P152" i="4"/>
  <c r="P151" i="4"/>
  <c r="P150" i="4"/>
  <c r="P149" i="4"/>
  <c r="X148" i="4"/>
  <c r="X150" i="4"/>
  <c r="T148" i="4"/>
  <c r="T150" i="4"/>
  <c r="R148" i="4"/>
  <c r="N149" i="4"/>
  <c r="N148" i="4"/>
  <c r="N150" i="4"/>
  <c r="L149" i="4"/>
  <c r="L148" i="4"/>
  <c r="J149" i="4"/>
  <c r="J148" i="4"/>
  <c r="J150" i="4"/>
  <c r="H149" i="4"/>
  <c r="J153" i="4" a="1"/>
  <c r="J153" i="4"/>
  <c r="J152" i="4"/>
  <c r="J151" i="4"/>
  <c r="H148" i="4"/>
  <c r="H153" i="4" a="1"/>
  <c r="H153" i="4"/>
  <c r="H152" i="4"/>
  <c r="H151" i="4"/>
  <c r="H150" i="4"/>
  <c r="X156" i="4"/>
  <c r="X153" i="4"/>
  <c r="X152" i="4"/>
  <c r="X151" i="4"/>
  <c r="V156" i="4"/>
  <c r="T156" i="4"/>
  <c r="T153" i="4"/>
  <c r="T152" i="4"/>
  <c r="T151" i="4"/>
  <c r="R156" i="4"/>
  <c r="R153" i="4"/>
  <c r="R152" i="4"/>
  <c r="R151" i="4"/>
  <c r="P156" i="4"/>
  <c r="N156" i="4"/>
  <c r="N153" i="4"/>
  <c r="N152" i="4"/>
  <c r="N151" i="4"/>
  <c r="L156" i="4"/>
  <c r="L153" i="4"/>
  <c r="L152" i="4"/>
  <c r="L151" i="4"/>
  <c r="J156" i="4"/>
  <c r="H15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<sst xmlns="http://schemas.openxmlformats.org/spreadsheetml/2006/main" count="2518" uniqueCount="372">
  <si>
    <t>Micropsectra</t>
  </si>
  <si>
    <t>Parametriocnemus</t>
  </si>
  <si>
    <t>Rheocricotopus</t>
  </si>
  <si>
    <t>Zavrelimyia</t>
  </si>
  <si>
    <t>Dixidae</t>
  </si>
  <si>
    <t>Dixa</t>
  </si>
  <si>
    <t>Dicranota</t>
  </si>
  <si>
    <t>Hexatoma</t>
  </si>
  <si>
    <t>Corynoneura</t>
  </si>
  <si>
    <t>Malenka</t>
  </si>
  <si>
    <t>Brillia</t>
  </si>
  <si>
    <r>
      <t>Tribe:</t>
    </r>
    <r>
      <rPr>
        <sz val="10"/>
        <rFont val="Verdana"/>
        <family val="2"/>
      </rPr>
      <t xml:space="preserve"> Chironomini</t>
    </r>
  </si>
  <si>
    <t>Sperchontidae</t>
  </si>
  <si>
    <t>Heptageniidae</t>
  </si>
  <si>
    <t>Percent sample processed:</t>
  </si>
  <si>
    <t>Perlidae</t>
  </si>
  <si>
    <t>Narpus</t>
  </si>
  <si>
    <t>Nemouridae</t>
  </si>
  <si>
    <t>Trichoptera</t>
  </si>
  <si>
    <t>Testudacarus</t>
  </si>
  <si>
    <t>Diphetor hageni</t>
  </si>
  <si>
    <t>Cinygma</t>
  </si>
  <si>
    <t>Leuctridae</t>
  </si>
  <si>
    <t>Shannon's D.I.:</t>
  </si>
  <si>
    <t>Tanytarsus</t>
  </si>
  <si>
    <t>Rheotanytarsus</t>
  </si>
  <si>
    <t>Cricotopus</t>
  </si>
  <si>
    <t>Arthropoda</t>
  </si>
  <si>
    <t>Arachnida</t>
  </si>
  <si>
    <r>
      <t>Subclass:</t>
    </r>
    <r>
      <rPr>
        <sz val="10"/>
        <rFont val="Verdana"/>
        <family val="2"/>
      </rPr>
      <t xml:space="preserve"> Acari</t>
    </r>
  </si>
  <si>
    <t>Antocha</t>
  </si>
  <si>
    <t>Lebertiidae</t>
  </si>
  <si>
    <t>Lebertia</t>
  </si>
  <si>
    <t>Torrenticolidae</t>
  </si>
  <si>
    <t>Sperchonopsis</t>
  </si>
  <si>
    <t>Torrenticola</t>
  </si>
  <si>
    <t>Wormaldia</t>
  </si>
  <si>
    <t>Stygothrombidiidae</t>
  </si>
  <si>
    <t>Paratanytarsus</t>
  </si>
  <si>
    <r>
      <t>Rhyacophila betteni</t>
    </r>
    <r>
      <rPr>
        <sz val="10"/>
        <rFont val="Verdana"/>
        <family val="2"/>
      </rPr>
      <t xml:space="preserve"> group</t>
    </r>
  </si>
  <si>
    <t>distinct</t>
  </si>
  <si>
    <t>Chloroperlidae</t>
  </si>
  <si>
    <t>Ephemeroptera</t>
  </si>
  <si>
    <t>Ameletidae</t>
  </si>
  <si>
    <t>Ameletus</t>
  </si>
  <si>
    <t>Baetidae</t>
  </si>
  <si>
    <t>Ephemerellidae</t>
  </si>
  <si>
    <t>Plecoptera</t>
  </si>
  <si>
    <t>SH</t>
  </si>
  <si>
    <t>Sweltsa</t>
  </si>
  <si>
    <t>Primary Metrics:</t>
  </si>
  <si>
    <t>Taxa Richness:</t>
  </si>
  <si>
    <t>EPT Taxa Richness:</t>
  </si>
  <si>
    <t>% Sensitive EPT:</t>
  </si>
  <si>
    <t>Rheopelopia</t>
  </si>
  <si>
    <t>Hygrobatidae</t>
  </si>
  <si>
    <t>Atractides</t>
  </si>
  <si>
    <t>Thienemanniella</t>
  </si>
  <si>
    <t>Empididae</t>
  </si>
  <si>
    <t>Simuliidae</t>
  </si>
  <si>
    <t>Simulium</t>
  </si>
  <si>
    <t>Tipulidae</t>
  </si>
  <si>
    <t>notes</t>
  </si>
  <si>
    <t>CG</t>
  </si>
  <si>
    <r>
      <t>Subfamily:</t>
    </r>
    <r>
      <rPr>
        <sz val="10"/>
        <rFont val="Verdana"/>
        <family val="2"/>
      </rPr>
      <t xml:space="preserve"> Tanypodinae</t>
    </r>
  </si>
  <si>
    <t>Sperchon</t>
  </si>
  <si>
    <t>P</t>
  </si>
  <si>
    <t>OM</t>
  </si>
  <si>
    <t>CF</t>
  </si>
  <si>
    <t>SC</t>
  </si>
  <si>
    <t>Annelida</t>
  </si>
  <si>
    <t>Oligochaeta</t>
  </si>
  <si>
    <t>Ostracoda</t>
  </si>
  <si>
    <t>Insecta</t>
  </si>
  <si>
    <t>Hydryphantidae</t>
  </si>
  <si>
    <t>Protzia</t>
  </si>
  <si>
    <t>Brachycentridae</t>
  </si>
  <si>
    <t>Micrasema</t>
  </si>
  <si>
    <t>MH</t>
  </si>
  <si>
    <t>Glossosomatidae</t>
  </si>
  <si>
    <t>Hydropsychidae</t>
  </si>
  <si>
    <t>Hydroptilidae</t>
  </si>
  <si>
    <t>Hydroptila</t>
  </si>
  <si>
    <t>PH</t>
  </si>
  <si>
    <t>Lepidostomatidae</t>
  </si>
  <si>
    <t>Lepidostoma</t>
  </si>
  <si>
    <t>Coleoptera</t>
  </si>
  <si>
    <t>Elmidae</t>
  </si>
  <si>
    <t>Diptera</t>
  </si>
  <si>
    <t>Chironomidae</t>
  </si>
  <si>
    <t>Phylum</t>
  </si>
  <si>
    <t>Class</t>
  </si>
  <si>
    <t>Order</t>
  </si>
  <si>
    <t>Family</t>
  </si>
  <si>
    <t>TV</t>
  </si>
  <si>
    <t>Synorthocladius</t>
  </si>
  <si>
    <t>FFG</t>
  </si>
  <si>
    <t>Ceratopogonidae</t>
  </si>
  <si>
    <t>Bezzia/Palpomyia</t>
  </si>
  <si>
    <t>Psychodidae</t>
  </si>
  <si>
    <t>Philopotamidae</t>
  </si>
  <si>
    <t>Rhyacophilidae</t>
  </si>
  <si>
    <t>Psephenidae</t>
  </si>
  <si>
    <t>Glossosoma</t>
  </si>
  <si>
    <t>Optioservus</t>
  </si>
  <si>
    <t>Neoplasta</t>
  </si>
  <si>
    <t>Eubrianax edwardsii</t>
  </si>
  <si>
    <t>Family:</t>
  </si>
  <si>
    <r>
      <t xml:space="preserve">Microtendipes rydalensis </t>
    </r>
    <r>
      <rPr>
        <sz val="10"/>
        <rFont val="Verdana"/>
        <family val="2"/>
      </rPr>
      <t>group</t>
    </r>
  </si>
  <si>
    <t>% Dominant Taxon:</t>
  </si>
  <si>
    <t>Total (with/without large sort):</t>
  </si>
  <si>
    <t>Score</t>
  </si>
  <si>
    <t>% non-Insect Taxa:</t>
  </si>
  <si>
    <t>Leptophlebiidae</t>
  </si>
  <si>
    <t>Paraleptophlebia</t>
  </si>
  <si>
    <t>Tolerance Value:</t>
  </si>
  <si>
    <r>
      <t>Subfamily:</t>
    </r>
    <r>
      <rPr>
        <sz val="10"/>
        <rFont val="Verdana"/>
        <family val="2"/>
      </rPr>
      <t xml:space="preserve"> Diamesinae</t>
    </r>
  </si>
  <si>
    <r>
      <t>Subfamily:</t>
    </r>
    <r>
      <rPr>
        <sz val="10"/>
        <rFont val="Verdana"/>
        <family val="2"/>
      </rPr>
      <t xml:space="preserve"> Orthocladiinae</t>
    </r>
  </si>
  <si>
    <t>Stygothrombium</t>
  </si>
  <si>
    <t>% Predator Individuals:</t>
  </si>
  <si>
    <t>Hydropsyche</t>
  </si>
  <si>
    <r>
      <t>Eukiefferiella claripennis</t>
    </r>
    <r>
      <rPr>
        <sz val="10"/>
        <rFont val="Verdana"/>
        <family val="2"/>
      </rPr>
      <t xml:space="preserve"> group</t>
    </r>
  </si>
  <si>
    <r>
      <t>Eukiefferiella devonica</t>
    </r>
    <r>
      <rPr>
        <sz val="10"/>
        <rFont val="Verdana"/>
        <family val="2"/>
      </rPr>
      <t xml:space="preserve"> group</t>
    </r>
  </si>
  <si>
    <r>
      <t>Tvetenia bavarica</t>
    </r>
    <r>
      <rPr>
        <sz val="10"/>
        <rFont val="Verdana"/>
        <family val="2"/>
      </rPr>
      <t xml:space="preserve"> group</t>
    </r>
  </si>
  <si>
    <t>Zapada cinctipes</t>
  </si>
  <si>
    <t>Zaitzevia parvula</t>
  </si>
  <si>
    <t>Micropsectra/Tanytarsus</t>
  </si>
  <si>
    <t>Stempellinella</t>
  </si>
  <si>
    <t>Heterotrissocladius</t>
  </si>
  <si>
    <r>
      <t>Subfamily</t>
    </r>
    <r>
      <rPr>
        <sz val="10"/>
        <rFont val="Verdana"/>
        <family val="2"/>
      </rPr>
      <t>: Chironominae</t>
    </r>
  </si>
  <si>
    <r>
      <t>Tribe</t>
    </r>
    <r>
      <rPr>
        <sz val="10"/>
        <rFont val="Verdana"/>
        <family val="2"/>
      </rPr>
      <t>: Tanytarsini</t>
    </r>
  </si>
  <si>
    <t>Parakiefferiella</t>
  </si>
  <si>
    <t>Pentaneura</t>
  </si>
  <si>
    <t>EI</t>
  </si>
  <si>
    <t>Matriella teresa</t>
  </si>
  <si>
    <r>
      <t>Thienemannimyia</t>
    </r>
    <r>
      <rPr>
        <sz val="10"/>
        <rFont val="Verdana"/>
        <family val="2"/>
      </rPr>
      <t xml:space="preserve"> group</t>
    </r>
  </si>
  <si>
    <t>Ochrotrichia</t>
  </si>
  <si>
    <t>Clinocera</t>
  </si>
  <si>
    <t>Ecdyonurus criddlei</t>
  </si>
  <si>
    <t>Heleniella</t>
  </si>
  <si>
    <t>Utaxatax</t>
  </si>
  <si>
    <t>GGNRA, Redwood Creek</t>
  </si>
  <si>
    <t>Sample 1</t>
  </si>
  <si>
    <t>Aturidae</t>
  </si>
  <si>
    <t>Woolastookia</t>
  </si>
  <si>
    <t>Hydrovolzia</t>
  </si>
  <si>
    <t>Hydrovolziidae</t>
  </si>
  <si>
    <r>
      <t>Baetis tricaudatus</t>
    </r>
    <r>
      <rPr>
        <sz val="10"/>
        <rFont val="Verdana"/>
        <family val="2"/>
      </rPr>
      <t xml:space="preserve"> complex</t>
    </r>
  </si>
  <si>
    <t>Ephemerella</t>
  </si>
  <si>
    <t>Rhithrogena</t>
  </si>
  <si>
    <t>Paraperla</t>
  </si>
  <si>
    <t>Calineuria californica</t>
  </si>
  <si>
    <t>Amiocentrus aspilus</t>
  </si>
  <si>
    <t>Ordobrevia nubifera</t>
  </si>
  <si>
    <t>Atrichopogon</t>
  </si>
  <si>
    <t>Polypedilum</t>
  </si>
  <si>
    <r>
      <t>Potthastia gaedii</t>
    </r>
    <r>
      <rPr>
        <sz val="10"/>
        <rFont val="Verdana"/>
        <family val="2"/>
      </rPr>
      <t xml:space="preserve"> group</t>
    </r>
  </si>
  <si>
    <t>p</t>
  </si>
  <si>
    <t>2p</t>
  </si>
  <si>
    <t>Krenosmittia</t>
  </si>
  <si>
    <t>Krenopelopia</t>
  </si>
  <si>
    <t>Estimated Relative Abundance:</t>
  </si>
  <si>
    <t>NORCAL B-IBI METRICS:</t>
  </si>
  <si>
    <t>EPT Richness:</t>
  </si>
  <si>
    <t>Coleoptera Richness:</t>
  </si>
  <si>
    <t>Diptera Richness:</t>
  </si>
  <si>
    <t>% Intolerant Individuals: *</t>
  </si>
  <si>
    <t>% non-Gastropod Scrapers:</t>
  </si>
  <si>
    <t>% Shredder Taxa:</t>
  </si>
  <si>
    <t>Sample 2</t>
  </si>
  <si>
    <t>Despaxia augusta</t>
  </si>
  <si>
    <t>1p</t>
  </si>
  <si>
    <r>
      <t>Orthocladiinae</t>
    </r>
    <r>
      <rPr>
        <sz val="10"/>
        <rFont val="Verdana"/>
        <family val="2"/>
      </rPr>
      <t xml:space="preserve"> sp.</t>
    </r>
  </si>
  <si>
    <t>Nilotanypus</t>
  </si>
  <si>
    <t>Odontoceridae</t>
  </si>
  <si>
    <t>Parthina</t>
  </si>
  <si>
    <t>Sample 3</t>
  </si>
  <si>
    <t>S. stellata</t>
  </si>
  <si>
    <t>Anafroptilum</t>
  </si>
  <si>
    <t>Narpus angustus</t>
  </si>
  <si>
    <t>1a, presume larvae</t>
  </si>
  <si>
    <t>3p</t>
  </si>
  <si>
    <t>Sample 4</t>
  </si>
  <si>
    <t>Sample 5</t>
  </si>
  <si>
    <t>Anagapetus</t>
  </si>
  <si>
    <t>Demicryptochironomus</t>
  </si>
  <si>
    <t>Sample 6</t>
  </si>
  <si>
    <t>Alloperla</t>
  </si>
  <si>
    <t>Sample 7</t>
  </si>
  <si>
    <t>Limnocharidae</t>
  </si>
  <si>
    <t>Limnochares</t>
  </si>
  <si>
    <t>Frontipodopsidae</t>
  </si>
  <si>
    <t>Frontipodopsis</t>
  </si>
  <si>
    <t>Soyedina</t>
  </si>
  <si>
    <t>Narpus concolor</t>
  </si>
  <si>
    <t>Sample 8</t>
  </si>
  <si>
    <t>Maruina lanceolata</t>
  </si>
  <si>
    <t>Sample 9</t>
  </si>
  <si>
    <t>Anisitsiellidae</t>
  </si>
  <si>
    <t>Orthocladius (Symposiocladius) lignicola</t>
  </si>
  <si>
    <t>Odonata</t>
  </si>
  <si>
    <t>Gomphidae</t>
  </si>
  <si>
    <t>Octogomphus specularis</t>
  </si>
  <si>
    <t>Psilometriocnemus</t>
  </si>
  <si>
    <t>Paraleuctra</t>
  </si>
  <si>
    <t>Thrematidae</t>
  </si>
  <si>
    <t>Neophylax rickeri</t>
  </si>
  <si>
    <t>Capniidae</t>
  </si>
  <si>
    <t>several instars, EI best guess</t>
  </si>
  <si>
    <t>Hesperoperla pacifica</t>
  </si>
  <si>
    <t>Paratendipes</t>
  </si>
  <si>
    <t>EI, not distinct</t>
  </si>
  <si>
    <t>Pentaneurini</t>
  </si>
  <si>
    <t>Malacostraca</t>
  </si>
  <si>
    <t>Amphipoda</t>
  </si>
  <si>
    <t>Crangonyctidae</t>
  </si>
  <si>
    <t>Stygobromus</t>
  </si>
  <si>
    <t>Limnephilidae</t>
  </si>
  <si>
    <t>Psychoglypha</t>
  </si>
  <si>
    <t>Apataniidae</t>
  </si>
  <si>
    <t>Apatania</t>
  </si>
  <si>
    <t>Stygomomonia</t>
  </si>
  <si>
    <t>Momoniidae</t>
  </si>
  <si>
    <t>Hygrobates</t>
  </si>
  <si>
    <t>a</t>
  </si>
  <si>
    <t>Parachaetocladius</t>
  </si>
  <si>
    <t>Dolophilodes</t>
  </si>
  <si>
    <r>
      <t xml:space="preserve">Rhyacophila sibirica </t>
    </r>
    <r>
      <rPr>
        <sz val="10"/>
        <rFont val="Verdana"/>
        <family val="2"/>
      </rPr>
      <t>group</t>
    </r>
  </si>
  <si>
    <t>4a</t>
  </si>
  <si>
    <t>Eukiefferiella</t>
  </si>
  <si>
    <t>Ljania</t>
  </si>
  <si>
    <t>Mideopsidae</t>
  </si>
  <si>
    <t>Scirtidae</t>
  </si>
  <si>
    <t>Elodes</t>
  </si>
  <si>
    <t>Meringodixa chalonensis</t>
  </si>
  <si>
    <t>Limonia</t>
  </si>
  <si>
    <t>Platyhelminthes</t>
  </si>
  <si>
    <t>Turbellaria</t>
  </si>
  <si>
    <t>Xystonotus</t>
  </si>
  <si>
    <t>IBI included for comparison purposes</t>
  </si>
  <si>
    <t>samples with less than 450 specimens normally not included.</t>
  </si>
  <si>
    <t>Score Total (Coast Range scores):</t>
  </si>
  <si>
    <t>Ironodes</t>
  </si>
  <si>
    <r>
      <t xml:space="preserve">EI, prob. </t>
    </r>
    <r>
      <rPr>
        <i/>
        <sz val="10"/>
        <rFont val="Verdana"/>
        <family val="2"/>
      </rPr>
      <t>Sweltsa</t>
    </r>
  </si>
  <si>
    <r>
      <t xml:space="preserve">2p, 1 </t>
    </r>
    <r>
      <rPr>
        <i/>
        <sz val="10"/>
        <rFont val="Verdana"/>
        <family val="2"/>
      </rPr>
      <t>G. pternum</t>
    </r>
  </si>
  <si>
    <t>don't see bifid seta</t>
  </si>
  <si>
    <t>Ephydridae</t>
  </si>
  <si>
    <t>6</t>
  </si>
  <si>
    <t>? 1 nymph</t>
  </si>
  <si>
    <t>Cinygmula</t>
  </si>
  <si>
    <t>4</t>
  </si>
  <si>
    <t>Kathroperla</t>
  </si>
  <si>
    <t>presume 3 EI</t>
  </si>
  <si>
    <t>VEI, best guess</t>
  </si>
  <si>
    <t>2a</t>
  </si>
  <si>
    <t>3a</t>
  </si>
  <si>
    <t>Sublettea</t>
  </si>
  <si>
    <t>damaged, best guess</t>
  </si>
  <si>
    <t>10p</t>
  </si>
  <si>
    <t>some EI</t>
  </si>
  <si>
    <t>Dytiscidae</t>
  </si>
  <si>
    <t>Agabus</t>
  </si>
  <si>
    <t>8</t>
  </si>
  <si>
    <t>? VEI</t>
  </si>
  <si>
    <t>Calamoceratidae</t>
  </si>
  <si>
    <t>Heteroplectron californicum</t>
  </si>
  <si>
    <t>6p</t>
  </si>
  <si>
    <t>best guess some EI</t>
  </si>
  <si>
    <t>Drunella flavilinea</t>
  </si>
  <si>
    <t>EI, distinct</t>
  </si>
  <si>
    <t>7p</t>
  </si>
  <si>
    <t>Monatractides</t>
  </si>
  <si>
    <t>5p-(1?)</t>
  </si>
  <si>
    <t>5 VEI, best guess</t>
  </si>
  <si>
    <t>p, distinct</t>
  </si>
  <si>
    <t>1 VEI, best guess</t>
  </si>
  <si>
    <t>3 VEI, best guess</t>
  </si>
  <si>
    <t>Polycentropodidae</t>
  </si>
  <si>
    <t>Polycentropus</t>
  </si>
  <si>
    <t>8a</t>
  </si>
  <si>
    <t>13p</t>
  </si>
  <si>
    <t>Megaloptera</t>
  </si>
  <si>
    <t>Sialidae</t>
  </si>
  <si>
    <t>Sialis</t>
  </si>
  <si>
    <t>distinct, lost head</t>
  </si>
  <si>
    <t>Ablabesmyia</t>
  </si>
  <si>
    <t>Coelenterata</t>
  </si>
  <si>
    <t>Hydrozoa</t>
  </si>
  <si>
    <t>Hydroida</t>
  </si>
  <si>
    <t>Hydridae</t>
  </si>
  <si>
    <t>Hydra</t>
  </si>
  <si>
    <t>VEI</t>
  </si>
  <si>
    <t>retained 2</t>
  </si>
  <si>
    <t>Cordulegastridae</t>
  </si>
  <si>
    <t>Cordulegaster dorsalis</t>
  </si>
  <si>
    <t>3</t>
  </si>
  <si>
    <t>Phaenopsectra</t>
  </si>
  <si>
    <t>7</t>
  </si>
  <si>
    <t>* not corrected for watershed size.</t>
  </si>
  <si>
    <t>1? - different</t>
  </si>
  <si>
    <t>1a</t>
  </si>
  <si>
    <t>Sample 10</t>
  </si>
  <si>
    <t>brown head</t>
  </si>
  <si>
    <t>Mollusca</t>
  </si>
  <si>
    <t>Gastropoda</t>
  </si>
  <si>
    <t>Basommatophora</t>
  </si>
  <si>
    <t>Planorbidae</t>
  </si>
  <si>
    <t>Menetus</t>
  </si>
  <si>
    <t>Genus/species/Final ID</t>
  </si>
  <si>
    <t>Acari</t>
  </si>
  <si>
    <t xml:space="preserve">Orthocladiinae </t>
  </si>
  <si>
    <t>Sample 11</t>
  </si>
  <si>
    <t>Sample 12</t>
  </si>
  <si>
    <t>Sample 13</t>
  </si>
  <si>
    <t>Sample 14</t>
  </si>
  <si>
    <t>Sample 15</t>
  </si>
  <si>
    <t>nymph, best guess</t>
  </si>
  <si>
    <t>retained 10</t>
  </si>
  <si>
    <t>5a</t>
  </si>
  <si>
    <t>not distinct</t>
  </si>
  <si>
    <t>Limnophyes</t>
  </si>
  <si>
    <t>Bivalvia</t>
  </si>
  <si>
    <t>Veneroida</t>
  </si>
  <si>
    <t>Sphaeriidae</t>
  </si>
  <si>
    <t>Pisidium</t>
  </si>
  <si>
    <t>VEI, not distinct</t>
  </si>
  <si>
    <t>presume some EI</t>
  </si>
  <si>
    <t>Trichoclinocera?</t>
  </si>
  <si>
    <t>Psychoda</t>
  </si>
  <si>
    <t>distinct, nymph</t>
  </si>
  <si>
    <t>EI, best guess</t>
  </si>
  <si>
    <r>
      <t xml:space="preserve">distinct, </t>
    </r>
    <r>
      <rPr>
        <i/>
        <sz val="10"/>
        <rFont val="Verdana"/>
        <family val="2"/>
      </rPr>
      <t>Proclinopyga</t>
    </r>
  </si>
  <si>
    <t>2 VEI, best guess</t>
  </si>
  <si>
    <t>Chironominae</t>
  </si>
  <si>
    <t>Tanypodinae</t>
  </si>
  <si>
    <t>Diamesinae</t>
  </si>
  <si>
    <t>Sample ID</t>
  </si>
  <si>
    <t>Final ID</t>
  </si>
  <si>
    <t>Quantity</t>
  </si>
  <si>
    <t>Life Stage</t>
  </si>
  <si>
    <t>Distinct</t>
  </si>
  <si>
    <t>Comments</t>
  </si>
  <si>
    <t>Redwood 1</t>
  </si>
  <si>
    <t>x</t>
  </si>
  <si>
    <t>l</t>
  </si>
  <si>
    <t>presume larvae</t>
  </si>
  <si>
    <r>
      <t xml:space="preserve">1 </t>
    </r>
    <r>
      <rPr>
        <i/>
        <sz val="10"/>
        <rFont val="Verdana"/>
        <family val="2"/>
      </rPr>
      <t>G. pternum</t>
    </r>
  </si>
  <si>
    <t>Redwood 2</t>
  </si>
  <si>
    <t>Redwood 3</t>
  </si>
  <si>
    <t>Redwood 4</t>
  </si>
  <si>
    <t>Redwood 5</t>
  </si>
  <si>
    <t>1?</t>
  </si>
  <si>
    <t>Redwood 6</t>
  </si>
  <si>
    <t>Redwood 7</t>
  </si>
  <si>
    <t>Redwood 8</t>
  </si>
  <si>
    <t>Redwood 9</t>
  </si>
  <si>
    <t>Redwood 10</t>
  </si>
  <si>
    <t>Redwood 11</t>
  </si>
  <si>
    <t>Redwood 12</t>
  </si>
  <si>
    <t>Redwood 13</t>
  </si>
  <si>
    <t>Redwood 14</t>
  </si>
  <si>
    <t>Redwood 15</t>
  </si>
  <si>
    <t>sample with mostly early instars</t>
  </si>
  <si>
    <r>
      <t>S. stellata</t>
    </r>
    <r>
      <rPr>
        <sz val="10"/>
        <rFont val="Verdana"/>
        <family val="2"/>
      </rPr>
      <t xml:space="preserve"> - 1 with mega palps</t>
    </r>
  </si>
  <si>
    <t>sample with</t>
  </si>
  <si>
    <t>mostly early instars</t>
  </si>
  <si>
    <t>Designed for CSBP sampling protocol, based on Level 1 STE,</t>
  </si>
  <si>
    <r>
      <t xml:space="preserve">Nixe kennedyi </t>
    </r>
    <r>
      <rPr>
        <sz val="10"/>
        <rFont val="Verdana"/>
        <family val="2"/>
      </rPr>
      <t>(?)</t>
    </r>
  </si>
  <si>
    <r>
      <t xml:space="preserve">odd, distinct, </t>
    </r>
    <r>
      <rPr>
        <i/>
        <sz val="10"/>
        <rFont val="Verdana"/>
        <family val="2"/>
      </rPr>
      <t>Nixe</t>
    </r>
    <r>
      <rPr>
        <sz val="10"/>
        <rFont val="Verdana"/>
        <family val="2"/>
      </rPr>
      <t>?</t>
    </r>
  </si>
  <si>
    <t>Nixe kennedyi (?)</t>
  </si>
  <si>
    <r>
      <t>S. stellata</t>
    </r>
    <r>
      <rPr>
        <sz val="10"/>
        <rFont val="Verdana"/>
        <family val="2"/>
      </rPr>
      <t xml:space="preserve"> - 1 with megapalps</t>
    </r>
  </si>
  <si>
    <t>Sample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</si>
</sst>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Verdana"/>
    </font>
    <font>
      <b/>
      <sz val="10"/>
      <name val="Verdana"/>
      <family val="2"/>
    </font>
    <font>
      <i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i/>
      <sz val="10"/>
      <name val="Verdana"/>
      <family val="2"/>
    </font>
    <font>
      <sz val="10"/>
      <name val="Verdana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49" fontId="0" fillId="0" borderId="0" xfId="0" applyNumberFormat="1"/>
    <xf numFmtId="49" fontId="3" fillId="0" borderId="0" xfId="0" applyNumberFormat="1" applyFont="1"/>
    <xf numFmtId="18" fontId="0" fillId="0" borderId="0" xfId="0" applyNumberFormat="1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0" fontId="6" fillId="0" borderId="0" xfId="0" applyFont="1"/>
    <xf numFmtId="18" fontId="6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9" fontId="2" fillId="0" borderId="0" xfId="0" applyNumberFormat="1" applyFont="1"/>
    <xf numFmtId="1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8" fontId="3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704850</xdr:colOff>
      <xdr:row>32</xdr:row>
      <xdr:rowOff>83381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0D57C-E709-8C29-E45F-DAF43030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3752850" cy="5398331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292100</xdr:colOff>
      <xdr:row>0</xdr:row>
      <xdr:rowOff>57150</xdr:rowOff>
    </xdr:from>
    <xdr:to>
      <xdr:col>10</xdr:col>
      <xdr:colOff>355799</xdr:colOff>
      <xdr:row>22</xdr:row>
      <xdr:rowOff>95446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2EB7E-AD3B-8E23-5655-D4824833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2100" y="57150"/>
          <a:ext cx="3873699" cy="3810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420647</xdr:colOff>
      <xdr:row>5</xdr:row>
      <xdr:rowOff>9646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57555-537D-7B0E-28A6-CC5F54EFA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88647" cy="866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C248-C7DC-490E-B766-25337106F70D}">
  <dimension ref="A1"/>
  <sheetViews>
    <sheetView workbookViewId="0">
      <selection activeCell="L17" sqref="L17"/>
    </sheetView>
  </sheetViews>
  <sheetFormatPr defaultRowHeight="13.5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69D9-211F-4198-A508-09F259C01A5A}">
  <dimension ref="A1"/>
  <sheetViews>
    <sheetView workbookViewId="0">
      <selection activeCell="D15" sqref="D15"/>
    </sheetView>
  </sheetViews>
  <sheetFormatPr defaultRowHeight="13.5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4"/>
  <sheetViews>
    <sheetView zoomScale="110" zoomScaleNormal="110" workbookViewId="0">
      <pane xSplit="7" ySplit="2" topLeftCell="H150" activePane="bottomRight" state="frozen"/>
      <selection pane="topRight" activeCell="H1" sqref="H1"/>
      <selection pane="bottomLeft" activeCell="A3" sqref="A3"/>
      <selection pane="bottomRight" sqref="A1:XFD1048576"/>
    </sheetView>
  </sheetViews>
  <sheetFormatPr defaultColWidth="11.07421875" defaultRowHeight="13.5" x14ac:dyDescent="0.3"/>
  <cols>
    <col min="5" max="5" width="20.84375" bestFit="1" customWidth="1"/>
    <col min="6" max="6" width="5" style="14" bestFit="1" customWidth="1"/>
    <col min="7" max="7" width="3.84375" bestFit="1" customWidth="1"/>
    <col min="8" max="9" width="10.69140625" customWidth="1"/>
    <col min="27" max="27" width="10.69140625" style="10" customWidth="1"/>
  </cols>
  <sheetData>
    <row r="1" spans="1:67" x14ac:dyDescent="0.3">
      <c r="A1" t="s">
        <v>141</v>
      </c>
      <c r="H1" t="s">
        <v>142</v>
      </c>
      <c r="J1" t="s">
        <v>169</v>
      </c>
      <c r="L1" t="s">
        <v>176</v>
      </c>
      <c r="N1" t="s">
        <v>182</v>
      </c>
      <c r="P1" t="s">
        <v>183</v>
      </c>
      <c r="R1" t="s">
        <v>186</v>
      </c>
      <c r="T1" t="s">
        <v>188</v>
      </c>
      <c r="V1" t="s">
        <v>195</v>
      </c>
      <c r="X1" t="s">
        <v>197</v>
      </c>
      <c r="Z1" s="3" t="s">
        <v>301</v>
      </c>
      <c r="AA1"/>
      <c r="AB1" s="3" t="s">
        <v>311</v>
      </c>
      <c r="AD1" s="3" t="s">
        <v>312</v>
      </c>
      <c r="AF1" s="3" t="s">
        <v>313</v>
      </c>
      <c r="AH1" s="3" t="s">
        <v>314</v>
      </c>
      <c r="AJ1" s="3" t="s">
        <v>315</v>
      </c>
    </row>
    <row r="2" spans="1:67" x14ac:dyDescent="0.3">
      <c r="H2" s="4">
        <v>42931</v>
      </c>
      <c r="I2" t="s">
        <v>62</v>
      </c>
      <c r="J2" s="4">
        <v>42931</v>
      </c>
      <c r="K2" t="s">
        <v>62</v>
      </c>
      <c r="L2" s="4">
        <v>42931</v>
      </c>
      <c r="M2" t="s">
        <v>62</v>
      </c>
      <c r="N2" s="4">
        <v>42931</v>
      </c>
      <c r="O2" t="s">
        <v>62</v>
      </c>
      <c r="P2" s="4">
        <v>42931</v>
      </c>
      <c r="Q2" t="s">
        <v>62</v>
      </c>
      <c r="R2" s="4">
        <v>42931</v>
      </c>
      <c r="S2" t="s">
        <v>62</v>
      </c>
      <c r="T2" s="4">
        <v>42928</v>
      </c>
      <c r="U2" t="s">
        <v>62</v>
      </c>
      <c r="V2" s="4">
        <v>42928</v>
      </c>
      <c r="W2" t="s">
        <v>62</v>
      </c>
      <c r="X2" s="4">
        <v>42928</v>
      </c>
      <c r="Y2" t="s">
        <v>62</v>
      </c>
      <c r="Z2" s="4">
        <v>42924</v>
      </c>
      <c r="AA2" t="s">
        <v>62</v>
      </c>
      <c r="AB2" s="4">
        <v>42924</v>
      </c>
      <c r="AC2" t="s">
        <v>62</v>
      </c>
      <c r="AD2" s="4">
        <v>42924</v>
      </c>
      <c r="AE2" t="s">
        <v>62</v>
      </c>
      <c r="AF2" s="4">
        <v>42924</v>
      </c>
      <c r="AG2" t="s">
        <v>62</v>
      </c>
      <c r="AH2" s="4">
        <v>42924</v>
      </c>
      <c r="AI2" t="s">
        <v>62</v>
      </c>
      <c r="AJ2" s="4">
        <v>42924</v>
      </c>
      <c r="AK2" t="s">
        <v>62</v>
      </c>
      <c r="AL2" s="4"/>
      <c r="AN2" s="4"/>
      <c r="AP2" s="4"/>
      <c r="AR2" s="4"/>
      <c r="AT2" s="4"/>
      <c r="AV2" s="4"/>
      <c r="AX2" s="4"/>
      <c r="AZ2" s="4"/>
      <c r="BB2" s="4"/>
      <c r="BM2" s="4"/>
      <c r="BO2" s="4"/>
    </row>
    <row r="3" spans="1:67" x14ac:dyDescent="0.3">
      <c r="A3" s="1" t="s">
        <v>90</v>
      </c>
      <c r="B3" s="1" t="s">
        <v>91</v>
      </c>
      <c r="C3" s="1" t="s">
        <v>92</v>
      </c>
      <c r="D3" s="1" t="s">
        <v>93</v>
      </c>
      <c r="E3" s="1" t="s">
        <v>308</v>
      </c>
      <c r="F3" s="14" t="s">
        <v>94</v>
      </c>
      <c r="G3" t="s">
        <v>96</v>
      </c>
      <c r="W3" s="3" t="s">
        <v>364</v>
      </c>
    </row>
    <row r="4" spans="1:67" x14ac:dyDescent="0.3">
      <c r="A4" t="s">
        <v>286</v>
      </c>
      <c r="B4" t="s">
        <v>287</v>
      </c>
      <c r="C4" t="s">
        <v>288</v>
      </c>
      <c r="D4" t="s">
        <v>289</v>
      </c>
      <c r="E4" s="2" t="s">
        <v>290</v>
      </c>
      <c r="F4" s="19">
        <v>5</v>
      </c>
      <c r="G4" t="s">
        <v>66</v>
      </c>
      <c r="V4">
        <v>1</v>
      </c>
      <c r="W4" s="3" t="s">
        <v>365</v>
      </c>
    </row>
    <row r="5" spans="1:67" x14ac:dyDescent="0.3">
      <c r="A5" t="s">
        <v>236</v>
      </c>
      <c r="B5" t="s">
        <v>237</v>
      </c>
      <c r="E5" t="s">
        <v>237</v>
      </c>
      <c r="F5" s="19">
        <v>4</v>
      </c>
      <c r="G5" t="s">
        <v>66</v>
      </c>
    </row>
    <row r="6" spans="1:67" x14ac:dyDescent="0.3">
      <c r="A6" t="s">
        <v>303</v>
      </c>
      <c r="B6" t="s">
        <v>321</v>
      </c>
      <c r="C6" t="s">
        <v>322</v>
      </c>
      <c r="D6" t="s">
        <v>323</v>
      </c>
      <c r="E6" s="2" t="s">
        <v>324</v>
      </c>
      <c r="F6" s="19">
        <v>8</v>
      </c>
      <c r="G6" t="s">
        <v>68</v>
      </c>
      <c r="AH6">
        <v>1</v>
      </c>
    </row>
    <row r="7" spans="1:67" x14ac:dyDescent="0.3">
      <c r="B7" t="s">
        <v>304</v>
      </c>
      <c r="C7" t="s">
        <v>305</v>
      </c>
      <c r="D7" t="s">
        <v>306</v>
      </c>
      <c r="E7" s="2" t="s">
        <v>307</v>
      </c>
      <c r="F7" s="19">
        <v>6</v>
      </c>
      <c r="G7" t="s">
        <v>69</v>
      </c>
      <c r="AB7">
        <v>4</v>
      </c>
      <c r="AD7">
        <v>2</v>
      </c>
      <c r="AH7">
        <v>2</v>
      </c>
    </row>
    <row r="8" spans="1:67" x14ac:dyDescent="0.3">
      <c r="A8" t="s">
        <v>70</v>
      </c>
      <c r="B8" t="s">
        <v>71</v>
      </c>
      <c r="E8" t="s">
        <v>71</v>
      </c>
      <c r="F8" s="19">
        <v>5</v>
      </c>
      <c r="G8" t="s">
        <v>63</v>
      </c>
      <c r="H8">
        <v>14</v>
      </c>
      <c r="J8">
        <v>17</v>
      </c>
      <c r="L8">
        <v>10</v>
      </c>
      <c r="N8">
        <v>23</v>
      </c>
      <c r="P8">
        <v>3</v>
      </c>
      <c r="R8">
        <v>12</v>
      </c>
      <c r="T8">
        <v>53</v>
      </c>
      <c r="V8">
        <v>84</v>
      </c>
      <c r="X8">
        <v>27</v>
      </c>
      <c r="Z8">
        <v>26</v>
      </c>
      <c r="AB8">
        <v>70</v>
      </c>
      <c r="AD8">
        <v>59</v>
      </c>
      <c r="AF8">
        <v>26</v>
      </c>
      <c r="AH8">
        <v>26</v>
      </c>
      <c r="AJ8">
        <v>11</v>
      </c>
    </row>
    <row r="9" spans="1:67" x14ac:dyDescent="0.3">
      <c r="A9" t="s">
        <v>27</v>
      </c>
      <c r="B9" t="s">
        <v>28</v>
      </c>
      <c r="C9" s="1" t="s">
        <v>29</v>
      </c>
      <c r="E9" s="3" t="s">
        <v>309</v>
      </c>
      <c r="F9" s="19">
        <v>5</v>
      </c>
      <c r="G9" t="s">
        <v>66</v>
      </c>
      <c r="AJ9">
        <v>1</v>
      </c>
      <c r="AK9" s="3" t="s">
        <v>329</v>
      </c>
    </row>
    <row r="10" spans="1:67" x14ac:dyDescent="0.3">
      <c r="D10" t="s">
        <v>198</v>
      </c>
      <c r="E10" s="2" t="s">
        <v>140</v>
      </c>
      <c r="F10" s="19">
        <v>5</v>
      </c>
      <c r="G10" t="s">
        <v>66</v>
      </c>
    </row>
    <row r="11" spans="1:67" x14ac:dyDescent="0.3">
      <c r="D11" t="s">
        <v>143</v>
      </c>
      <c r="E11" s="2" t="s">
        <v>230</v>
      </c>
      <c r="F11" s="19">
        <v>5</v>
      </c>
      <c r="G11" t="s">
        <v>66</v>
      </c>
    </row>
    <row r="12" spans="1:67" x14ac:dyDescent="0.3">
      <c r="E12" s="2" t="s">
        <v>144</v>
      </c>
      <c r="F12" s="19">
        <v>5</v>
      </c>
      <c r="G12" t="s">
        <v>66</v>
      </c>
      <c r="L12">
        <v>1</v>
      </c>
      <c r="V12">
        <v>2</v>
      </c>
      <c r="X12">
        <v>1</v>
      </c>
      <c r="AB12">
        <v>5</v>
      </c>
      <c r="AF12">
        <v>3</v>
      </c>
      <c r="AH12">
        <v>1</v>
      </c>
      <c r="AJ12">
        <v>2</v>
      </c>
    </row>
    <row r="13" spans="1:67" x14ac:dyDescent="0.3">
      <c r="D13" t="s">
        <v>191</v>
      </c>
      <c r="E13" s="2" t="s">
        <v>192</v>
      </c>
      <c r="F13" s="19">
        <v>5</v>
      </c>
      <c r="G13" t="s">
        <v>66</v>
      </c>
    </row>
    <row r="14" spans="1:67" x14ac:dyDescent="0.3">
      <c r="D14" t="s">
        <v>146</v>
      </c>
      <c r="E14" s="2" t="s">
        <v>145</v>
      </c>
      <c r="F14" s="19">
        <v>5</v>
      </c>
      <c r="G14" t="s">
        <v>66</v>
      </c>
      <c r="AH14">
        <v>2</v>
      </c>
    </row>
    <row r="15" spans="1:67" x14ac:dyDescent="0.3">
      <c r="D15" t="s">
        <v>74</v>
      </c>
      <c r="E15" s="2" t="s">
        <v>75</v>
      </c>
      <c r="F15" s="19">
        <v>8</v>
      </c>
      <c r="G15" t="s">
        <v>66</v>
      </c>
      <c r="Z15">
        <v>1</v>
      </c>
    </row>
    <row r="16" spans="1:67" x14ac:dyDescent="0.3">
      <c r="D16" t="s">
        <v>55</v>
      </c>
      <c r="E16" s="2" t="s">
        <v>56</v>
      </c>
      <c r="F16" s="19">
        <v>8</v>
      </c>
      <c r="G16" t="s">
        <v>66</v>
      </c>
      <c r="H16">
        <v>1</v>
      </c>
      <c r="J16">
        <v>1</v>
      </c>
      <c r="L16">
        <v>1</v>
      </c>
      <c r="R16">
        <v>1</v>
      </c>
      <c r="AB16">
        <v>3</v>
      </c>
      <c r="AF16">
        <v>4</v>
      </c>
    </row>
    <row r="17" spans="1:47" x14ac:dyDescent="0.3">
      <c r="E17" s="2" t="s">
        <v>223</v>
      </c>
      <c r="F17" s="19">
        <v>8</v>
      </c>
      <c r="G17" t="s">
        <v>66</v>
      </c>
    </row>
    <row r="18" spans="1:47" x14ac:dyDescent="0.3">
      <c r="D18" t="s">
        <v>31</v>
      </c>
      <c r="E18" s="2" t="s">
        <v>32</v>
      </c>
      <c r="F18" s="19">
        <v>8</v>
      </c>
      <c r="G18" t="s">
        <v>66</v>
      </c>
      <c r="H18">
        <v>1</v>
      </c>
      <c r="J18">
        <v>2</v>
      </c>
      <c r="K18" s="3" t="s">
        <v>248</v>
      </c>
      <c r="L18">
        <v>1</v>
      </c>
      <c r="N18">
        <v>1</v>
      </c>
      <c r="R18">
        <v>2</v>
      </c>
      <c r="V18">
        <v>1</v>
      </c>
      <c r="X18">
        <v>2</v>
      </c>
      <c r="Z18">
        <v>2</v>
      </c>
      <c r="AB18">
        <v>3</v>
      </c>
      <c r="AD18">
        <v>3</v>
      </c>
      <c r="AF18">
        <v>5</v>
      </c>
      <c r="AH18">
        <v>7</v>
      </c>
      <c r="AJ18">
        <v>2</v>
      </c>
    </row>
    <row r="19" spans="1:47" x14ac:dyDescent="0.3">
      <c r="D19" t="s">
        <v>189</v>
      </c>
      <c r="E19" s="2" t="s">
        <v>190</v>
      </c>
      <c r="F19" s="19">
        <v>5</v>
      </c>
      <c r="G19" t="s">
        <v>66</v>
      </c>
    </row>
    <row r="20" spans="1:47" x14ac:dyDescent="0.3">
      <c r="D20" t="s">
        <v>231</v>
      </c>
      <c r="E20" s="2" t="s">
        <v>238</v>
      </c>
      <c r="F20" s="19">
        <v>5</v>
      </c>
      <c r="G20" t="s">
        <v>66</v>
      </c>
    </row>
    <row r="21" spans="1:47" x14ac:dyDescent="0.3">
      <c r="D21" t="s">
        <v>222</v>
      </c>
      <c r="E21" s="2" t="s">
        <v>221</v>
      </c>
      <c r="F21" s="19">
        <v>5</v>
      </c>
      <c r="G21" t="s">
        <v>66</v>
      </c>
    </row>
    <row r="22" spans="1:47" x14ac:dyDescent="0.3">
      <c r="D22" t="s">
        <v>12</v>
      </c>
      <c r="E22" s="2" t="s">
        <v>65</v>
      </c>
      <c r="F22" s="19">
        <v>8</v>
      </c>
      <c r="G22" t="s">
        <v>66</v>
      </c>
      <c r="K22" s="2"/>
      <c r="M22" s="2"/>
      <c r="N22">
        <v>1</v>
      </c>
      <c r="P22">
        <v>1</v>
      </c>
      <c r="Q22" s="2" t="s">
        <v>177</v>
      </c>
      <c r="V22">
        <v>1</v>
      </c>
      <c r="W22" s="2" t="s">
        <v>177</v>
      </c>
      <c r="Y22" s="2"/>
      <c r="Z22">
        <v>2</v>
      </c>
      <c r="AA22" s="20" t="s">
        <v>177</v>
      </c>
      <c r="AF22">
        <v>2</v>
      </c>
      <c r="AG22" s="2" t="s">
        <v>363</v>
      </c>
      <c r="AH22">
        <v>3</v>
      </c>
    </row>
    <row r="23" spans="1:47" x14ac:dyDescent="0.3">
      <c r="E23" s="2" t="s">
        <v>34</v>
      </c>
      <c r="F23" s="19">
        <v>8</v>
      </c>
      <c r="G23" t="s">
        <v>66</v>
      </c>
      <c r="L23">
        <v>1</v>
      </c>
      <c r="N23">
        <v>1</v>
      </c>
      <c r="V23">
        <v>1</v>
      </c>
      <c r="X23">
        <v>1</v>
      </c>
      <c r="AD23">
        <v>1</v>
      </c>
      <c r="AF23">
        <v>3</v>
      </c>
    </row>
    <row r="24" spans="1:47" x14ac:dyDescent="0.3">
      <c r="D24" t="s">
        <v>37</v>
      </c>
      <c r="E24" s="2" t="s">
        <v>118</v>
      </c>
      <c r="F24" s="19">
        <v>5</v>
      </c>
      <c r="G24" t="s">
        <v>66</v>
      </c>
    </row>
    <row r="25" spans="1:47" x14ac:dyDescent="0.3">
      <c r="D25" t="s">
        <v>33</v>
      </c>
      <c r="E25" t="s">
        <v>33</v>
      </c>
      <c r="F25" s="18">
        <v>5</v>
      </c>
      <c r="G25" s="3" t="s">
        <v>66</v>
      </c>
      <c r="P25">
        <v>1</v>
      </c>
      <c r="Q25" s="2" t="s">
        <v>271</v>
      </c>
    </row>
    <row r="26" spans="1:47" x14ac:dyDescent="0.3">
      <c r="E26" s="2" t="s">
        <v>19</v>
      </c>
      <c r="F26" s="19">
        <v>5</v>
      </c>
      <c r="G26" t="s">
        <v>66</v>
      </c>
      <c r="Z26">
        <v>2</v>
      </c>
      <c r="AD26">
        <v>1</v>
      </c>
      <c r="AF26">
        <v>1</v>
      </c>
      <c r="AG26" s="3" t="s">
        <v>316</v>
      </c>
    </row>
    <row r="27" spans="1:47" x14ac:dyDescent="0.3">
      <c r="E27" s="2" t="s">
        <v>35</v>
      </c>
      <c r="F27" s="19">
        <v>5</v>
      </c>
      <c r="G27" t="s">
        <v>66</v>
      </c>
      <c r="H27">
        <v>2</v>
      </c>
      <c r="J27">
        <v>25</v>
      </c>
      <c r="L27">
        <v>16</v>
      </c>
      <c r="N27">
        <v>1</v>
      </c>
      <c r="P27">
        <v>8</v>
      </c>
      <c r="R27">
        <v>11</v>
      </c>
      <c r="T27">
        <v>4</v>
      </c>
      <c r="V27">
        <v>16</v>
      </c>
      <c r="X27">
        <v>14</v>
      </c>
      <c r="Y27" s="3" t="s">
        <v>299</v>
      </c>
      <c r="Z27">
        <v>11</v>
      </c>
      <c r="AB27">
        <v>4</v>
      </c>
      <c r="AD27">
        <v>7</v>
      </c>
      <c r="AF27">
        <v>20</v>
      </c>
      <c r="AH27">
        <v>18</v>
      </c>
      <c r="AJ27">
        <v>6</v>
      </c>
    </row>
    <row r="28" spans="1:47" x14ac:dyDescent="0.3">
      <c r="B28" t="s">
        <v>72</v>
      </c>
      <c r="E28" t="s">
        <v>72</v>
      </c>
      <c r="F28" s="19">
        <v>8</v>
      </c>
      <c r="G28" t="s">
        <v>63</v>
      </c>
      <c r="H28">
        <v>20</v>
      </c>
      <c r="J28">
        <v>28</v>
      </c>
      <c r="L28">
        <v>25</v>
      </c>
      <c r="N28">
        <v>26</v>
      </c>
      <c r="O28" s="2"/>
      <c r="P28">
        <v>6</v>
      </c>
      <c r="R28">
        <v>10</v>
      </c>
      <c r="T28">
        <v>35</v>
      </c>
      <c r="V28">
        <v>85</v>
      </c>
      <c r="X28">
        <v>17</v>
      </c>
      <c r="Z28">
        <v>76</v>
      </c>
      <c r="AB28">
        <v>68</v>
      </c>
      <c r="AD28">
        <v>33</v>
      </c>
      <c r="AF28">
        <v>53</v>
      </c>
      <c r="AH28">
        <v>57</v>
      </c>
      <c r="AJ28">
        <v>13</v>
      </c>
      <c r="AU28" s="2"/>
    </row>
    <row r="29" spans="1:47" x14ac:dyDescent="0.3">
      <c r="B29" s="3" t="s">
        <v>213</v>
      </c>
      <c r="C29" s="3" t="s">
        <v>214</v>
      </c>
      <c r="D29" s="3" t="s">
        <v>215</v>
      </c>
      <c r="E29" s="2" t="s">
        <v>216</v>
      </c>
      <c r="F29" s="21">
        <v>4</v>
      </c>
      <c r="G29" s="3" t="s">
        <v>63</v>
      </c>
      <c r="O29" s="2"/>
      <c r="AU29" s="2"/>
    </row>
    <row r="30" spans="1:47" x14ac:dyDescent="0.3">
      <c r="A30" s="3"/>
      <c r="B30" s="3" t="s">
        <v>73</v>
      </c>
      <c r="C30" s="3" t="s">
        <v>42</v>
      </c>
      <c r="D30" s="3" t="s">
        <v>43</v>
      </c>
      <c r="E30" s="2" t="s">
        <v>44</v>
      </c>
      <c r="F30" s="21">
        <v>0</v>
      </c>
      <c r="G30" s="3" t="s">
        <v>63</v>
      </c>
      <c r="H30" s="3"/>
      <c r="I30" s="3"/>
      <c r="T30" s="3"/>
      <c r="U30" s="3"/>
      <c r="V30" s="3"/>
      <c r="W30" s="3"/>
      <c r="X30" s="3"/>
      <c r="Y30" s="3"/>
      <c r="Z30" s="3"/>
      <c r="AA30" s="11"/>
      <c r="AB30" s="3"/>
      <c r="AC30" s="3"/>
      <c r="AD30" s="3"/>
      <c r="AE30" s="3"/>
      <c r="AF30">
        <v>1</v>
      </c>
      <c r="AN30" s="3"/>
      <c r="AO30" s="3"/>
      <c r="AP30" s="3"/>
      <c r="AQ30" s="3"/>
      <c r="AR30" s="3"/>
      <c r="AS30" s="3"/>
    </row>
    <row r="31" spans="1:47" x14ac:dyDescent="0.3">
      <c r="A31" s="3"/>
      <c r="B31" s="3"/>
      <c r="C31" s="3"/>
      <c r="D31" s="3" t="s">
        <v>45</v>
      </c>
      <c r="E31" s="2" t="s">
        <v>178</v>
      </c>
      <c r="F31" s="19">
        <v>2</v>
      </c>
      <c r="G31" t="s">
        <v>63</v>
      </c>
      <c r="H31" s="3"/>
      <c r="I31" s="3"/>
      <c r="L31">
        <v>1</v>
      </c>
      <c r="N31">
        <v>1</v>
      </c>
      <c r="T31" s="3">
        <v>1</v>
      </c>
      <c r="U31" s="3"/>
      <c r="V31" s="3">
        <v>1</v>
      </c>
      <c r="W31" s="3"/>
      <c r="X31" s="3"/>
      <c r="Y31" s="3"/>
      <c r="Z31" s="3"/>
      <c r="AA31" s="11"/>
      <c r="AB31" s="3"/>
      <c r="AC31" s="3"/>
      <c r="AD31" s="3"/>
      <c r="AE31" s="3"/>
      <c r="AN31" s="3"/>
      <c r="AO31" s="3"/>
      <c r="AP31" s="3"/>
      <c r="AQ31" s="3"/>
      <c r="AR31" s="3"/>
      <c r="AS31" s="3"/>
    </row>
    <row r="32" spans="1:47" x14ac:dyDescent="0.3">
      <c r="E32" s="2" t="s">
        <v>147</v>
      </c>
      <c r="F32" s="21">
        <v>6</v>
      </c>
      <c r="G32" s="3" t="s">
        <v>63</v>
      </c>
      <c r="H32" s="3">
        <v>2</v>
      </c>
      <c r="I32" s="3"/>
      <c r="J32">
        <v>15</v>
      </c>
      <c r="L32">
        <v>14</v>
      </c>
      <c r="N32">
        <v>20</v>
      </c>
      <c r="P32">
        <v>7</v>
      </c>
      <c r="R32">
        <v>18</v>
      </c>
      <c r="T32" s="3">
        <v>1</v>
      </c>
      <c r="U32" s="3"/>
      <c r="V32" s="3">
        <v>1</v>
      </c>
      <c r="W32" s="3"/>
      <c r="X32" s="3"/>
      <c r="Y32" s="3"/>
      <c r="Z32" s="3">
        <v>6</v>
      </c>
      <c r="AA32" s="11"/>
      <c r="AB32" s="3">
        <v>3</v>
      </c>
      <c r="AC32" s="3"/>
      <c r="AD32" s="3">
        <v>6</v>
      </c>
      <c r="AE32" s="3"/>
      <c r="AF32">
        <v>23</v>
      </c>
      <c r="AH32">
        <v>15</v>
      </c>
      <c r="AJ32">
        <v>1</v>
      </c>
      <c r="AN32" s="3"/>
      <c r="AO32" s="3"/>
      <c r="AP32" s="3"/>
      <c r="AQ32" s="3"/>
      <c r="AR32" s="3"/>
      <c r="AS32" s="3"/>
    </row>
    <row r="33" spans="3:45" x14ac:dyDescent="0.3">
      <c r="E33" s="2" t="s">
        <v>20</v>
      </c>
      <c r="F33" s="21">
        <v>5</v>
      </c>
      <c r="G33" s="3" t="s">
        <v>63</v>
      </c>
      <c r="H33" s="3">
        <v>16</v>
      </c>
      <c r="I33" s="3"/>
      <c r="J33">
        <v>12</v>
      </c>
      <c r="L33">
        <v>18</v>
      </c>
      <c r="N33">
        <v>4</v>
      </c>
      <c r="P33">
        <v>6</v>
      </c>
      <c r="R33">
        <v>16</v>
      </c>
      <c r="T33" s="3">
        <v>5</v>
      </c>
      <c r="U33" s="3"/>
      <c r="V33">
        <v>5</v>
      </c>
      <c r="W33" s="3"/>
      <c r="X33">
        <v>16</v>
      </c>
      <c r="Y33" s="3"/>
      <c r="Z33" s="3">
        <v>22</v>
      </c>
      <c r="AA33" s="11"/>
      <c r="AB33" s="3">
        <v>7</v>
      </c>
      <c r="AC33" s="3"/>
      <c r="AD33" s="3">
        <v>4</v>
      </c>
      <c r="AE33" s="3"/>
      <c r="AF33">
        <v>22</v>
      </c>
      <c r="AH33">
        <v>31</v>
      </c>
      <c r="AJ33">
        <v>8</v>
      </c>
      <c r="AN33" s="3"/>
      <c r="AO33" s="3"/>
      <c r="AP33" s="3"/>
      <c r="AQ33" s="3"/>
      <c r="AR33" s="3"/>
      <c r="AS33" s="3"/>
    </row>
    <row r="34" spans="3:45" x14ac:dyDescent="0.3">
      <c r="D34" t="s">
        <v>46</v>
      </c>
      <c r="E34" s="2" t="s">
        <v>268</v>
      </c>
      <c r="F34" s="18">
        <v>0</v>
      </c>
      <c r="G34" s="3" t="s">
        <v>63</v>
      </c>
      <c r="H34" s="3"/>
      <c r="I34" s="3"/>
      <c r="N34">
        <v>1</v>
      </c>
      <c r="T34" s="3"/>
      <c r="U34" s="3"/>
      <c r="W34" s="3"/>
      <c r="Y34" s="3"/>
      <c r="Z34" s="3"/>
      <c r="AA34" s="11"/>
      <c r="AB34" s="3"/>
      <c r="AC34" s="3"/>
      <c r="AD34" s="3"/>
      <c r="AE34" s="3"/>
      <c r="AN34" s="3"/>
      <c r="AO34" s="3"/>
      <c r="AP34" s="3"/>
      <c r="AQ34" s="3"/>
      <c r="AR34" s="3"/>
      <c r="AS34" s="3"/>
    </row>
    <row r="35" spans="3:45" x14ac:dyDescent="0.3">
      <c r="E35" s="2" t="s">
        <v>148</v>
      </c>
      <c r="F35" s="19">
        <v>1</v>
      </c>
      <c r="G35" s="3" t="s">
        <v>63</v>
      </c>
      <c r="N35">
        <v>1</v>
      </c>
      <c r="O35" t="s">
        <v>133</v>
      </c>
      <c r="T35" s="3">
        <v>1</v>
      </c>
      <c r="U35" s="3" t="s">
        <v>133</v>
      </c>
      <c r="V35" s="3">
        <v>2</v>
      </c>
      <c r="W35" s="3" t="s">
        <v>291</v>
      </c>
      <c r="Z35" s="3">
        <v>2</v>
      </c>
      <c r="AA35" s="11" t="s">
        <v>291</v>
      </c>
      <c r="AB35" s="3"/>
      <c r="AC35" s="3"/>
      <c r="AD35" s="3"/>
      <c r="AE35" s="3"/>
      <c r="AN35" s="3"/>
      <c r="AO35" s="3"/>
      <c r="AP35" s="3"/>
      <c r="AQ35" s="3"/>
      <c r="AR35" s="3"/>
      <c r="AS35" s="3"/>
    </row>
    <row r="36" spans="3:45" x14ac:dyDescent="0.3">
      <c r="E36" s="2" t="s">
        <v>134</v>
      </c>
      <c r="F36" s="19">
        <v>2</v>
      </c>
      <c r="G36" t="s">
        <v>63</v>
      </c>
      <c r="H36" s="3"/>
      <c r="I36" s="3"/>
      <c r="V36" s="3"/>
      <c r="W36" s="3"/>
      <c r="X36" s="3"/>
      <c r="Y36" s="3"/>
      <c r="Z36" s="3"/>
      <c r="AA36" s="11"/>
      <c r="AB36" s="3"/>
      <c r="AC36" s="3"/>
      <c r="AD36" s="3"/>
      <c r="AE36" s="3"/>
      <c r="AN36" s="3"/>
      <c r="AO36" s="3"/>
      <c r="AP36" s="3"/>
      <c r="AQ36" s="3"/>
      <c r="AR36" s="3"/>
      <c r="AS36" s="3"/>
    </row>
    <row r="37" spans="3:45" x14ac:dyDescent="0.3">
      <c r="D37" t="s">
        <v>13</v>
      </c>
      <c r="E37" t="s">
        <v>13</v>
      </c>
      <c r="F37" s="19">
        <v>2</v>
      </c>
      <c r="G37" t="s">
        <v>69</v>
      </c>
      <c r="H37" s="3"/>
      <c r="V37" s="3"/>
      <c r="W37" s="3"/>
      <c r="X37" s="3"/>
      <c r="Y37" s="3"/>
      <c r="Z37" s="3"/>
      <c r="AA37" s="11"/>
      <c r="AB37" s="3">
        <v>1</v>
      </c>
      <c r="AC37" s="3" t="s">
        <v>368</v>
      </c>
      <c r="AD37" s="3"/>
      <c r="AE37" s="3"/>
      <c r="AN37" s="3"/>
      <c r="AO37" s="3"/>
      <c r="AP37" s="3"/>
      <c r="AQ37" s="3"/>
      <c r="AR37" s="3"/>
      <c r="AS37" s="3"/>
    </row>
    <row r="38" spans="3:45" x14ac:dyDescent="0.3">
      <c r="E38" s="2" t="s">
        <v>21</v>
      </c>
      <c r="F38" s="21">
        <v>2</v>
      </c>
      <c r="G38" s="3" t="s">
        <v>69</v>
      </c>
      <c r="H38" s="3"/>
      <c r="I38" s="3"/>
      <c r="L38">
        <v>2</v>
      </c>
      <c r="T38">
        <v>1</v>
      </c>
      <c r="U38" s="3"/>
      <c r="V38" s="3"/>
      <c r="W38" s="3"/>
      <c r="Y38" s="3"/>
      <c r="Z38" s="3">
        <v>1</v>
      </c>
      <c r="AA38" s="11"/>
      <c r="AB38" s="3"/>
      <c r="AC38" s="3"/>
      <c r="AD38" s="3"/>
      <c r="AN38" s="3"/>
      <c r="AO38" s="3"/>
      <c r="AP38" s="3"/>
      <c r="AQ38" s="3"/>
      <c r="AR38" s="3"/>
      <c r="AS38" s="3"/>
    </row>
    <row r="39" spans="3:45" x14ac:dyDescent="0.3">
      <c r="E39" s="17" t="s">
        <v>249</v>
      </c>
      <c r="F39" s="21" t="s">
        <v>250</v>
      </c>
      <c r="G39" s="3" t="s">
        <v>69</v>
      </c>
      <c r="H39" s="3"/>
      <c r="I39" s="3"/>
      <c r="J39">
        <v>1</v>
      </c>
      <c r="U39" s="3"/>
      <c r="V39" s="3"/>
      <c r="W39" s="3"/>
      <c r="Y39" s="3"/>
      <c r="Z39" s="3"/>
      <c r="AA39" s="11"/>
      <c r="AB39" s="3"/>
      <c r="AC39" s="3"/>
      <c r="AD39" s="3"/>
      <c r="AF39">
        <v>3</v>
      </c>
      <c r="AN39" s="3"/>
      <c r="AO39" s="3"/>
      <c r="AP39" s="3"/>
      <c r="AQ39" s="3"/>
      <c r="AR39" s="3"/>
      <c r="AS39" s="3"/>
    </row>
    <row r="40" spans="3:45" x14ac:dyDescent="0.3">
      <c r="E40" s="2" t="s">
        <v>138</v>
      </c>
      <c r="F40" s="21">
        <v>2</v>
      </c>
      <c r="G40" s="3" t="s">
        <v>69</v>
      </c>
      <c r="H40" s="3">
        <v>8</v>
      </c>
      <c r="I40" s="3"/>
      <c r="J40">
        <v>7</v>
      </c>
      <c r="L40">
        <v>10</v>
      </c>
      <c r="R40">
        <v>3</v>
      </c>
      <c r="S40" s="3"/>
      <c r="T40" s="3">
        <v>5</v>
      </c>
      <c r="V40" s="3">
        <v>9</v>
      </c>
      <c r="W40" s="3"/>
      <c r="X40">
        <v>11</v>
      </c>
      <c r="Y40" s="3"/>
      <c r="Z40" s="3">
        <v>6</v>
      </c>
      <c r="AA40" s="11"/>
      <c r="AB40" s="3"/>
      <c r="AC40" s="3"/>
      <c r="AD40" s="3"/>
      <c r="AE40" s="3"/>
      <c r="AF40">
        <v>10</v>
      </c>
      <c r="AG40" s="3"/>
      <c r="AH40">
        <v>4</v>
      </c>
      <c r="AI40" s="3"/>
      <c r="AJ40">
        <v>14</v>
      </c>
      <c r="AN40" s="3"/>
      <c r="AO40" s="3"/>
      <c r="AP40" s="3"/>
      <c r="AQ40" s="3"/>
      <c r="AR40" s="3"/>
      <c r="AS40" s="3"/>
    </row>
    <row r="41" spans="3:45" x14ac:dyDescent="0.3">
      <c r="E41" s="2" t="s">
        <v>242</v>
      </c>
      <c r="F41" s="19">
        <v>3</v>
      </c>
      <c r="G41" t="s">
        <v>69</v>
      </c>
      <c r="H41" s="3">
        <v>1</v>
      </c>
      <c r="I41" s="3"/>
      <c r="T41" s="3"/>
      <c r="V41" s="3"/>
      <c r="W41" s="3"/>
      <c r="Y41" s="3"/>
      <c r="Z41" s="3"/>
      <c r="AA41" s="11"/>
      <c r="AB41" s="3"/>
      <c r="AC41" s="3"/>
      <c r="AD41" s="3"/>
      <c r="AE41" s="3"/>
      <c r="AH41">
        <v>2</v>
      </c>
      <c r="AN41" s="3"/>
      <c r="AO41" s="3"/>
      <c r="AP41" s="3"/>
      <c r="AQ41" s="3"/>
      <c r="AR41" s="3"/>
      <c r="AS41" s="3"/>
    </row>
    <row r="42" spans="3:45" x14ac:dyDescent="0.3">
      <c r="E42" s="2" t="s">
        <v>367</v>
      </c>
      <c r="F42" s="25">
        <v>2</v>
      </c>
      <c r="G42" t="s">
        <v>69</v>
      </c>
      <c r="H42" s="3"/>
      <c r="I42" s="3"/>
      <c r="R42">
        <v>1</v>
      </c>
      <c r="T42" s="3"/>
      <c r="V42" s="3"/>
      <c r="W42" s="3"/>
      <c r="Y42" s="3"/>
      <c r="Z42" s="3"/>
      <c r="AA42" s="11"/>
      <c r="AB42" s="3"/>
      <c r="AC42" s="3"/>
      <c r="AD42" s="3"/>
      <c r="AE42" s="3"/>
      <c r="AF42">
        <v>1</v>
      </c>
      <c r="AH42">
        <v>2</v>
      </c>
      <c r="AN42" s="3"/>
      <c r="AO42" s="3"/>
      <c r="AP42" s="3"/>
      <c r="AQ42" s="3"/>
      <c r="AR42" s="3"/>
      <c r="AS42" s="3"/>
    </row>
    <row r="43" spans="3:45" x14ac:dyDescent="0.3">
      <c r="E43" s="2" t="s">
        <v>149</v>
      </c>
      <c r="F43" s="19">
        <v>0</v>
      </c>
      <c r="G43" t="s">
        <v>69</v>
      </c>
      <c r="H43" s="3">
        <v>7</v>
      </c>
      <c r="I43" t="s">
        <v>133</v>
      </c>
      <c r="J43">
        <v>2</v>
      </c>
      <c r="K43" s="3" t="s">
        <v>133</v>
      </c>
      <c r="L43">
        <v>1</v>
      </c>
      <c r="N43">
        <v>2</v>
      </c>
      <c r="T43" s="3"/>
      <c r="U43" s="3"/>
      <c r="V43" s="3"/>
      <c r="W43" s="3"/>
      <c r="Y43" s="3"/>
      <c r="Z43" s="3">
        <v>5</v>
      </c>
      <c r="AA43" s="11"/>
      <c r="AB43" s="3">
        <v>2</v>
      </c>
      <c r="AC43" s="3"/>
      <c r="AD43" s="3"/>
      <c r="AE43" s="3"/>
      <c r="AF43">
        <v>5</v>
      </c>
      <c r="AH43">
        <v>3</v>
      </c>
      <c r="AJ43">
        <v>2</v>
      </c>
      <c r="AN43" s="3"/>
      <c r="AO43" s="3"/>
      <c r="AP43" s="3"/>
      <c r="AQ43" s="3"/>
      <c r="AS43" s="3"/>
    </row>
    <row r="44" spans="3:45" x14ac:dyDescent="0.3">
      <c r="D44" t="s">
        <v>113</v>
      </c>
      <c r="E44" s="2" t="s">
        <v>114</v>
      </c>
      <c r="F44" s="21">
        <v>4</v>
      </c>
      <c r="G44" s="3" t="s">
        <v>63</v>
      </c>
      <c r="H44" s="15">
        <v>2</v>
      </c>
      <c r="I44" s="3"/>
      <c r="J44">
        <v>9</v>
      </c>
      <c r="L44">
        <v>26</v>
      </c>
      <c r="N44">
        <v>9</v>
      </c>
      <c r="P44">
        <v>9</v>
      </c>
      <c r="R44">
        <v>18</v>
      </c>
      <c r="T44" s="3">
        <v>25</v>
      </c>
      <c r="U44" s="3"/>
      <c r="V44">
        <v>21</v>
      </c>
      <c r="W44" s="3"/>
      <c r="X44">
        <v>8</v>
      </c>
      <c r="Y44" s="3"/>
      <c r="Z44" s="3">
        <v>5</v>
      </c>
      <c r="AA44" s="11"/>
      <c r="AB44">
        <v>5</v>
      </c>
      <c r="AC44" s="3"/>
      <c r="AD44">
        <v>3</v>
      </c>
      <c r="AE44" s="3"/>
      <c r="AF44">
        <v>9</v>
      </c>
      <c r="AH44">
        <v>16</v>
      </c>
      <c r="AJ44">
        <v>7</v>
      </c>
      <c r="AN44" s="3"/>
      <c r="AO44" s="3"/>
      <c r="AP44" s="3"/>
      <c r="AQ44" s="3"/>
      <c r="AR44" s="3"/>
      <c r="AS44" s="3"/>
    </row>
    <row r="45" spans="3:45" x14ac:dyDescent="0.3">
      <c r="C45" t="s">
        <v>47</v>
      </c>
      <c r="D45" t="s">
        <v>207</v>
      </c>
      <c r="E45" t="s">
        <v>207</v>
      </c>
      <c r="F45" s="19">
        <v>1</v>
      </c>
      <c r="G45" t="s">
        <v>48</v>
      </c>
      <c r="H45" s="3"/>
      <c r="I45" s="3"/>
      <c r="L45">
        <v>1</v>
      </c>
      <c r="R45">
        <v>1</v>
      </c>
      <c r="T45" s="3"/>
      <c r="U45" s="3"/>
      <c r="W45" s="3"/>
      <c r="Y45" s="3"/>
      <c r="Z45" s="3">
        <v>1</v>
      </c>
      <c r="AA45" s="11"/>
      <c r="AB45">
        <v>1</v>
      </c>
      <c r="AC45" s="3"/>
      <c r="AE45" s="3"/>
      <c r="AN45" s="3"/>
      <c r="AO45" s="3"/>
      <c r="AP45" s="3"/>
      <c r="AQ45" s="3"/>
      <c r="AR45" s="3"/>
      <c r="AS45" s="3"/>
    </row>
    <row r="46" spans="3:45" x14ac:dyDescent="0.3">
      <c r="D46" t="s">
        <v>41</v>
      </c>
      <c r="E46" t="s">
        <v>41</v>
      </c>
      <c r="F46" s="21">
        <v>1</v>
      </c>
      <c r="G46" t="s">
        <v>66</v>
      </c>
      <c r="H46" s="3">
        <v>4</v>
      </c>
      <c r="I46" s="15" t="s">
        <v>243</v>
      </c>
      <c r="N46">
        <v>2</v>
      </c>
      <c r="O46" s="3" t="s">
        <v>269</v>
      </c>
      <c r="R46">
        <v>1</v>
      </c>
      <c r="S46" s="3" t="s">
        <v>269</v>
      </c>
      <c r="T46" s="3">
        <v>1</v>
      </c>
      <c r="U46" s="3" t="s">
        <v>269</v>
      </c>
      <c r="V46" s="3"/>
      <c r="Y46" s="3"/>
      <c r="Z46" s="3"/>
      <c r="AA46" s="11"/>
      <c r="AB46" s="3"/>
      <c r="AC46" s="3"/>
      <c r="AD46" s="3"/>
      <c r="AE46" s="3"/>
      <c r="AN46" s="3"/>
      <c r="AO46" s="3"/>
      <c r="AQ46" s="3"/>
      <c r="AR46" s="3"/>
      <c r="AS46" s="3"/>
    </row>
    <row r="47" spans="3:45" x14ac:dyDescent="0.3">
      <c r="E47" s="2" t="s">
        <v>187</v>
      </c>
      <c r="F47" s="19">
        <v>1</v>
      </c>
      <c r="G47" t="s">
        <v>66</v>
      </c>
      <c r="H47" s="3"/>
      <c r="T47" s="3"/>
      <c r="U47" s="3"/>
      <c r="V47" s="3"/>
      <c r="W47" s="3"/>
      <c r="Y47" s="3"/>
      <c r="Z47" s="3"/>
      <c r="AA47" s="11"/>
      <c r="AB47" s="3"/>
      <c r="AC47" s="3"/>
      <c r="AD47" s="3"/>
      <c r="AE47" s="3"/>
      <c r="AN47" s="3"/>
      <c r="AO47" s="3"/>
      <c r="AQ47" s="3"/>
      <c r="AR47" s="3"/>
      <c r="AS47" s="3"/>
    </row>
    <row r="48" spans="3:45" x14ac:dyDescent="0.3">
      <c r="E48" s="17" t="s">
        <v>251</v>
      </c>
      <c r="F48" s="21">
        <v>0</v>
      </c>
      <c r="G48" t="s">
        <v>66</v>
      </c>
      <c r="H48" s="3"/>
      <c r="J48">
        <v>1</v>
      </c>
      <c r="T48" s="3"/>
      <c r="U48" s="3"/>
      <c r="V48" s="3"/>
      <c r="W48" s="3"/>
      <c r="Y48" s="3"/>
      <c r="Z48" s="3"/>
      <c r="AA48" s="11"/>
      <c r="AB48" s="3"/>
      <c r="AC48" s="3"/>
      <c r="AD48" s="3"/>
      <c r="AE48" s="3"/>
      <c r="AN48" s="3"/>
      <c r="AO48" s="3"/>
      <c r="AQ48" s="3"/>
      <c r="AR48" s="3"/>
      <c r="AS48" s="3"/>
    </row>
    <row r="49" spans="3:55" x14ac:dyDescent="0.3">
      <c r="E49" s="2" t="s">
        <v>150</v>
      </c>
      <c r="F49" s="19">
        <v>0</v>
      </c>
      <c r="G49" t="s">
        <v>66</v>
      </c>
      <c r="H49">
        <v>4</v>
      </c>
      <c r="T49" s="3"/>
      <c r="U49" s="3"/>
      <c r="V49" s="3">
        <v>1</v>
      </c>
      <c r="W49" s="3"/>
      <c r="Y49" s="3"/>
      <c r="Z49" s="3">
        <v>1</v>
      </c>
      <c r="AA49" s="11"/>
      <c r="AB49" s="3"/>
      <c r="AC49" s="3"/>
      <c r="AD49" s="3"/>
      <c r="AE49" s="3"/>
      <c r="AF49">
        <v>4</v>
      </c>
      <c r="AH49">
        <v>1</v>
      </c>
      <c r="AJ49">
        <v>1</v>
      </c>
      <c r="AN49" s="3"/>
      <c r="AO49" s="3"/>
      <c r="AQ49" s="3"/>
      <c r="AR49" s="3"/>
      <c r="AS49" s="3"/>
    </row>
    <row r="50" spans="3:55" x14ac:dyDescent="0.3">
      <c r="E50" s="2" t="s">
        <v>49</v>
      </c>
      <c r="F50" s="21">
        <v>1</v>
      </c>
      <c r="G50" s="3" t="s">
        <v>66</v>
      </c>
      <c r="H50" s="3"/>
      <c r="J50">
        <v>4</v>
      </c>
      <c r="K50" s="3" t="s">
        <v>252</v>
      </c>
      <c r="L50">
        <v>2</v>
      </c>
      <c r="N50">
        <v>3</v>
      </c>
      <c r="P50">
        <v>1</v>
      </c>
      <c r="R50">
        <v>2</v>
      </c>
      <c r="T50" s="3">
        <v>1</v>
      </c>
      <c r="U50" s="3"/>
      <c r="V50" s="3"/>
      <c r="W50" s="3"/>
      <c r="X50" s="3">
        <v>1</v>
      </c>
      <c r="Y50" s="3"/>
      <c r="Z50" s="3">
        <v>3</v>
      </c>
      <c r="AA50" s="11"/>
      <c r="AB50" s="3">
        <v>1</v>
      </c>
      <c r="AD50" s="3">
        <v>1</v>
      </c>
      <c r="AE50" s="3"/>
      <c r="AF50">
        <v>7</v>
      </c>
      <c r="AG50" s="3" t="s">
        <v>330</v>
      </c>
      <c r="AJ50">
        <v>2</v>
      </c>
      <c r="AN50" s="3"/>
      <c r="AO50" s="3"/>
      <c r="AP50" s="3"/>
      <c r="AQ50" s="3"/>
      <c r="AR50" s="3"/>
      <c r="BA50" s="2"/>
      <c r="BC50" s="3"/>
    </row>
    <row r="51" spans="3:55" x14ac:dyDescent="0.3">
      <c r="D51" t="s">
        <v>22</v>
      </c>
      <c r="E51" t="s">
        <v>22</v>
      </c>
      <c r="F51" s="19">
        <v>0</v>
      </c>
      <c r="G51" t="s">
        <v>48</v>
      </c>
      <c r="H51" s="3"/>
      <c r="T51" s="3"/>
      <c r="U51" s="3"/>
      <c r="V51" s="3"/>
      <c r="W51" s="3"/>
      <c r="X51" s="3"/>
      <c r="Y51" s="3"/>
      <c r="Z51" s="3"/>
      <c r="AA51" s="11"/>
      <c r="AB51" s="3"/>
      <c r="AD51" s="3"/>
      <c r="AE51" s="3"/>
      <c r="AN51" s="3"/>
      <c r="AO51" s="3"/>
      <c r="AP51" s="3"/>
      <c r="AQ51" s="3"/>
      <c r="AR51" s="3"/>
      <c r="BA51" s="2"/>
      <c r="BC51" s="3"/>
    </row>
    <row r="52" spans="3:55" x14ac:dyDescent="0.3">
      <c r="E52" s="2" t="s">
        <v>170</v>
      </c>
      <c r="F52" s="19">
        <v>0</v>
      </c>
      <c r="G52" t="s">
        <v>48</v>
      </c>
      <c r="H52" s="3"/>
      <c r="L52">
        <v>1</v>
      </c>
      <c r="T52" s="3">
        <v>1</v>
      </c>
      <c r="U52" s="3"/>
      <c r="V52" s="3"/>
      <c r="W52" s="3"/>
      <c r="X52" s="3"/>
      <c r="Z52" s="3"/>
      <c r="AA52" s="11"/>
      <c r="AB52" s="3"/>
      <c r="AD52" s="3">
        <v>1</v>
      </c>
      <c r="AE52" s="3"/>
      <c r="AH52">
        <v>2</v>
      </c>
      <c r="AJ52">
        <v>1</v>
      </c>
      <c r="AN52" s="3"/>
      <c r="AO52" s="3"/>
      <c r="AP52" s="3"/>
      <c r="AQ52" s="3"/>
      <c r="AR52" s="3"/>
      <c r="BA52" s="2"/>
      <c r="BC52" s="3"/>
    </row>
    <row r="53" spans="3:55" x14ac:dyDescent="0.3">
      <c r="E53" s="2" t="s">
        <v>204</v>
      </c>
      <c r="F53" s="21">
        <v>0</v>
      </c>
      <c r="G53" s="3" t="s">
        <v>48</v>
      </c>
      <c r="H53" s="3"/>
      <c r="I53" s="3"/>
      <c r="M53" s="2"/>
      <c r="T53" s="3"/>
      <c r="U53" s="3"/>
      <c r="V53" s="3"/>
      <c r="X53" s="3"/>
      <c r="Y53" s="3"/>
      <c r="Z53" s="3"/>
      <c r="AA53" s="11"/>
      <c r="AB53" s="3"/>
      <c r="AC53" s="3"/>
      <c r="AD53" s="3">
        <v>1</v>
      </c>
      <c r="AE53" s="3"/>
      <c r="AF53">
        <v>1</v>
      </c>
      <c r="AI53" s="2"/>
      <c r="AN53" s="3"/>
      <c r="AO53" s="3"/>
      <c r="AP53" s="3"/>
      <c r="AR53" s="3"/>
      <c r="AS53" s="3"/>
      <c r="BA53" s="3"/>
      <c r="BC53" s="3"/>
    </row>
    <row r="54" spans="3:55" x14ac:dyDescent="0.3">
      <c r="D54" t="s">
        <v>17</v>
      </c>
      <c r="E54" s="2" t="s">
        <v>9</v>
      </c>
      <c r="F54" s="21">
        <v>2</v>
      </c>
      <c r="G54" s="3" t="s">
        <v>48</v>
      </c>
      <c r="H54">
        <v>3</v>
      </c>
      <c r="I54" s="3"/>
      <c r="J54">
        <v>27</v>
      </c>
      <c r="K54" t="s">
        <v>208</v>
      </c>
      <c r="L54">
        <v>28</v>
      </c>
      <c r="N54">
        <v>36</v>
      </c>
      <c r="P54">
        <v>36</v>
      </c>
      <c r="R54">
        <v>64</v>
      </c>
      <c r="T54" s="3">
        <v>48</v>
      </c>
      <c r="U54" s="3"/>
      <c r="V54" s="3">
        <v>36</v>
      </c>
      <c r="W54" s="3"/>
      <c r="X54" s="3">
        <v>44</v>
      </c>
      <c r="Z54" s="3">
        <v>22</v>
      </c>
      <c r="AA54" s="11"/>
      <c r="AB54" s="3">
        <v>29</v>
      </c>
      <c r="AC54" s="3"/>
      <c r="AD54" s="3">
        <v>49</v>
      </c>
      <c r="AE54" s="3"/>
      <c r="AF54">
        <v>26</v>
      </c>
      <c r="AH54">
        <v>36</v>
      </c>
      <c r="AJ54">
        <v>23</v>
      </c>
      <c r="AN54" s="3"/>
      <c r="AO54" s="3"/>
      <c r="AQ54" s="3"/>
      <c r="AR54" s="3"/>
      <c r="AS54" s="3"/>
      <c r="BA54" s="2"/>
      <c r="BC54" s="2"/>
    </row>
    <row r="55" spans="3:55" x14ac:dyDescent="0.3">
      <c r="E55" s="2" t="s">
        <v>193</v>
      </c>
      <c r="F55" s="21">
        <v>2</v>
      </c>
      <c r="G55" s="3" t="s">
        <v>48</v>
      </c>
      <c r="T55" s="3"/>
      <c r="U55" s="3"/>
      <c r="V55" s="3"/>
      <c r="W55" s="3"/>
      <c r="X55" s="3"/>
      <c r="Z55" s="3"/>
      <c r="AB55" s="3"/>
      <c r="AD55" s="3"/>
      <c r="AP55" s="3"/>
      <c r="AR55" s="3"/>
    </row>
    <row r="56" spans="3:55" x14ac:dyDescent="0.3">
      <c r="E56" s="2" t="s">
        <v>124</v>
      </c>
      <c r="F56" s="21">
        <v>2</v>
      </c>
      <c r="G56" s="3" t="s">
        <v>48</v>
      </c>
      <c r="H56" s="3"/>
      <c r="T56" s="3"/>
      <c r="U56" s="3"/>
      <c r="V56" s="3"/>
      <c r="W56" s="3"/>
      <c r="X56" s="3"/>
      <c r="Y56" s="3"/>
      <c r="Z56" s="3"/>
      <c r="AA56" s="11"/>
      <c r="AB56" s="3"/>
      <c r="AC56" s="3"/>
      <c r="AD56" s="3"/>
      <c r="AE56" s="3"/>
      <c r="AO56" s="3"/>
      <c r="AQ56" s="3"/>
      <c r="AR56" s="3"/>
      <c r="AS56" s="3"/>
    </row>
    <row r="57" spans="3:55" x14ac:dyDescent="0.3">
      <c r="D57" t="s">
        <v>15</v>
      </c>
      <c r="E57" s="2" t="s">
        <v>151</v>
      </c>
      <c r="F57" s="21">
        <v>2</v>
      </c>
      <c r="G57" s="3" t="s">
        <v>66</v>
      </c>
      <c r="H57">
        <v>32</v>
      </c>
      <c r="J57">
        <v>35</v>
      </c>
      <c r="L57">
        <v>27</v>
      </c>
      <c r="N57">
        <v>6</v>
      </c>
      <c r="P57">
        <v>7</v>
      </c>
      <c r="R57">
        <v>30</v>
      </c>
      <c r="T57" s="3">
        <v>3</v>
      </c>
      <c r="V57" s="3">
        <v>4</v>
      </c>
      <c r="X57">
        <v>15</v>
      </c>
      <c r="Z57" s="3">
        <v>29</v>
      </c>
      <c r="AA57" s="11"/>
      <c r="AB57" s="3">
        <v>6</v>
      </c>
      <c r="AC57" s="3"/>
      <c r="AD57" s="3">
        <v>7</v>
      </c>
      <c r="AE57" s="3"/>
      <c r="AF57">
        <v>22</v>
      </c>
      <c r="AH57">
        <v>18</v>
      </c>
      <c r="AJ57">
        <v>21</v>
      </c>
      <c r="AN57" s="3"/>
      <c r="AP57" s="3"/>
      <c r="AR57" s="3"/>
    </row>
    <row r="58" spans="3:55" x14ac:dyDescent="0.3">
      <c r="E58" s="2" t="s">
        <v>209</v>
      </c>
      <c r="F58" s="19">
        <v>2</v>
      </c>
      <c r="G58" t="s">
        <v>66</v>
      </c>
      <c r="P58">
        <v>1</v>
      </c>
      <c r="T58" s="3"/>
      <c r="V58" s="3">
        <v>1</v>
      </c>
      <c r="Z58" s="3"/>
      <c r="AA58" s="11"/>
      <c r="AB58" s="3"/>
      <c r="AC58" s="3"/>
      <c r="AD58" s="3"/>
      <c r="AE58" s="3"/>
      <c r="AF58">
        <v>1</v>
      </c>
      <c r="AH58">
        <v>1</v>
      </c>
      <c r="AJ58">
        <v>1</v>
      </c>
      <c r="AN58" s="3"/>
      <c r="AP58" s="3"/>
      <c r="AR58" s="3"/>
    </row>
    <row r="59" spans="3:55" x14ac:dyDescent="0.3">
      <c r="C59" t="s">
        <v>18</v>
      </c>
      <c r="D59" t="s">
        <v>219</v>
      </c>
      <c r="E59" s="2" t="s">
        <v>220</v>
      </c>
      <c r="F59" s="19">
        <v>1</v>
      </c>
      <c r="G59" t="s">
        <v>69</v>
      </c>
      <c r="H59">
        <v>5</v>
      </c>
      <c r="J59">
        <v>2</v>
      </c>
      <c r="L59">
        <v>3</v>
      </c>
      <c r="N59">
        <v>3</v>
      </c>
      <c r="P59">
        <v>3</v>
      </c>
      <c r="R59">
        <v>4</v>
      </c>
      <c r="T59" s="3"/>
      <c r="V59" s="3"/>
      <c r="Z59" s="3">
        <v>1</v>
      </c>
      <c r="AA59" s="11"/>
      <c r="AB59" s="3">
        <v>2</v>
      </c>
      <c r="AC59" s="3"/>
      <c r="AD59" s="3"/>
      <c r="AE59" s="3"/>
      <c r="AF59">
        <v>5</v>
      </c>
      <c r="AH59">
        <v>4</v>
      </c>
      <c r="AJ59">
        <v>2</v>
      </c>
      <c r="AN59" s="3"/>
      <c r="AP59" s="3"/>
      <c r="AR59" s="3"/>
    </row>
    <row r="60" spans="3:55" x14ac:dyDescent="0.3">
      <c r="D60" t="s">
        <v>76</v>
      </c>
      <c r="E60" s="2" t="s">
        <v>152</v>
      </c>
      <c r="F60" s="19">
        <v>3</v>
      </c>
      <c r="G60" t="s">
        <v>63</v>
      </c>
      <c r="H60" s="3"/>
      <c r="I60" s="3"/>
      <c r="J60">
        <v>4</v>
      </c>
      <c r="L60">
        <v>2</v>
      </c>
      <c r="N60">
        <v>3</v>
      </c>
      <c r="P60">
        <v>5</v>
      </c>
      <c r="R60">
        <v>3</v>
      </c>
      <c r="T60" s="3"/>
      <c r="V60" s="3">
        <v>2</v>
      </c>
      <c r="W60" s="3"/>
      <c r="Y60" s="3"/>
      <c r="Z60" s="3">
        <v>2</v>
      </c>
      <c r="AA60" s="11"/>
      <c r="AB60" s="3"/>
      <c r="AC60" s="3"/>
      <c r="AD60" s="3">
        <v>1</v>
      </c>
      <c r="AE60" s="3"/>
      <c r="AF60">
        <v>1</v>
      </c>
      <c r="AJ60">
        <v>1</v>
      </c>
      <c r="AN60" s="3"/>
      <c r="AO60" s="3"/>
      <c r="AP60" s="3"/>
      <c r="AQ60" s="3"/>
      <c r="AR60" s="3"/>
      <c r="AS60" s="3"/>
    </row>
    <row r="61" spans="3:55" x14ac:dyDescent="0.3">
      <c r="E61" s="2" t="s">
        <v>77</v>
      </c>
      <c r="F61" s="21">
        <v>1</v>
      </c>
      <c r="G61" s="3" t="s">
        <v>78</v>
      </c>
      <c r="I61" s="3"/>
      <c r="J61">
        <v>1</v>
      </c>
      <c r="K61" s="3" t="s">
        <v>253</v>
      </c>
      <c r="L61">
        <v>1</v>
      </c>
      <c r="M61" s="3" t="s">
        <v>263</v>
      </c>
      <c r="T61" s="3"/>
      <c r="V61" s="3"/>
      <c r="W61" s="3"/>
      <c r="X61" s="3"/>
      <c r="Y61" s="3"/>
      <c r="Z61" s="3"/>
      <c r="AA61" s="11"/>
      <c r="AB61" s="3"/>
      <c r="AC61" s="3"/>
      <c r="AD61" s="3"/>
      <c r="AE61" s="3"/>
      <c r="AN61" s="3"/>
      <c r="AO61" s="3"/>
      <c r="AP61" s="3"/>
      <c r="AQ61" s="3"/>
      <c r="AR61" s="3"/>
      <c r="AS61" s="3"/>
    </row>
    <row r="62" spans="3:55" x14ac:dyDescent="0.3">
      <c r="D62" s="3" t="s">
        <v>264</v>
      </c>
      <c r="E62" s="2" t="s">
        <v>265</v>
      </c>
      <c r="F62" s="18">
        <v>1</v>
      </c>
      <c r="G62" s="3" t="s">
        <v>48</v>
      </c>
      <c r="I62" s="3"/>
      <c r="K62" s="3"/>
      <c r="L62">
        <v>4</v>
      </c>
      <c r="M62" s="3"/>
      <c r="N62">
        <v>1</v>
      </c>
      <c r="R62">
        <v>1</v>
      </c>
      <c r="T62" s="3"/>
      <c r="V62" s="3"/>
      <c r="W62" s="3"/>
      <c r="X62" s="3"/>
      <c r="Y62" s="3"/>
      <c r="Z62" s="3"/>
      <c r="AA62" s="11"/>
      <c r="AB62" s="3"/>
      <c r="AC62" s="3"/>
      <c r="AD62" s="3"/>
      <c r="AE62" s="3"/>
      <c r="AH62">
        <v>7</v>
      </c>
      <c r="AN62" s="3"/>
      <c r="AO62" s="3"/>
      <c r="AP62" s="3"/>
      <c r="AQ62" s="3"/>
      <c r="AR62" s="3"/>
      <c r="AS62" s="3"/>
    </row>
    <row r="63" spans="3:55" x14ac:dyDescent="0.3">
      <c r="D63" t="s">
        <v>79</v>
      </c>
      <c r="E63" s="2" t="s">
        <v>184</v>
      </c>
      <c r="F63" s="19">
        <v>0</v>
      </c>
      <c r="G63" t="s">
        <v>69</v>
      </c>
      <c r="H63" s="3"/>
      <c r="I63" s="3"/>
      <c r="T63" s="3"/>
      <c r="U63" s="3"/>
      <c r="V63" s="3"/>
      <c r="W63" s="3"/>
      <c r="X63" s="3"/>
      <c r="Y63" s="3"/>
      <c r="Z63" s="3"/>
      <c r="AA63" s="11"/>
      <c r="AB63" s="3"/>
      <c r="AC63" s="3"/>
      <c r="AD63" s="3"/>
      <c r="AE63" s="3"/>
      <c r="AO63" s="3"/>
      <c r="AQ63" s="3"/>
      <c r="AR63" s="3"/>
      <c r="AS63" s="3"/>
    </row>
    <row r="64" spans="3:55" x14ac:dyDescent="0.3">
      <c r="E64" s="2" t="s">
        <v>103</v>
      </c>
      <c r="F64" s="21">
        <v>1</v>
      </c>
      <c r="G64" s="3" t="s">
        <v>69</v>
      </c>
      <c r="H64" s="3">
        <v>6</v>
      </c>
      <c r="I64" s="15" t="s">
        <v>244</v>
      </c>
      <c r="J64">
        <v>2</v>
      </c>
      <c r="K64" s="3" t="s">
        <v>171</v>
      </c>
      <c r="L64">
        <v>1</v>
      </c>
      <c r="P64">
        <v>11</v>
      </c>
      <c r="Q64" s="3" t="s">
        <v>181</v>
      </c>
      <c r="T64" s="3"/>
      <c r="V64">
        <v>1</v>
      </c>
      <c r="W64" s="3"/>
      <c r="X64" s="3"/>
      <c r="Y64" s="3"/>
      <c r="Z64" s="3"/>
      <c r="AA64" s="11"/>
      <c r="AB64" s="3">
        <v>1</v>
      </c>
      <c r="AC64" s="3"/>
      <c r="AD64" s="3">
        <v>2</v>
      </c>
      <c r="AE64" s="3"/>
      <c r="AF64">
        <v>2</v>
      </c>
      <c r="AH64">
        <v>1</v>
      </c>
      <c r="AJ64">
        <v>3</v>
      </c>
      <c r="AK64" s="3" t="s">
        <v>171</v>
      </c>
      <c r="AN64" s="3"/>
      <c r="AO64" s="3"/>
      <c r="AP64" s="3"/>
      <c r="AQ64" s="3"/>
      <c r="AR64" s="3"/>
      <c r="AS64" s="3"/>
    </row>
    <row r="65" spans="3:45" x14ac:dyDescent="0.3">
      <c r="D65" t="s">
        <v>80</v>
      </c>
      <c r="E65" s="2" t="s">
        <v>120</v>
      </c>
      <c r="F65" s="21">
        <v>4</v>
      </c>
      <c r="G65" s="3" t="s">
        <v>68</v>
      </c>
      <c r="H65" s="3">
        <v>9</v>
      </c>
      <c r="I65" s="3"/>
      <c r="J65">
        <v>31</v>
      </c>
      <c r="L65">
        <v>7</v>
      </c>
      <c r="N65">
        <v>6</v>
      </c>
      <c r="P65">
        <v>16</v>
      </c>
      <c r="Q65" s="3" t="s">
        <v>171</v>
      </c>
      <c r="R65">
        <v>11</v>
      </c>
      <c r="T65" s="3"/>
      <c r="U65" s="3"/>
      <c r="V65" s="3"/>
      <c r="Z65" s="3">
        <v>5</v>
      </c>
      <c r="AB65" s="3">
        <v>2</v>
      </c>
      <c r="AC65" s="3"/>
      <c r="AD65" s="3">
        <v>2</v>
      </c>
      <c r="AE65" s="3"/>
      <c r="AF65">
        <v>28</v>
      </c>
      <c r="AG65" s="3" t="s">
        <v>158</v>
      </c>
      <c r="AH65">
        <v>5</v>
      </c>
      <c r="AJ65">
        <v>5</v>
      </c>
      <c r="AN65" s="3"/>
      <c r="AO65" s="3"/>
      <c r="AP65" s="3"/>
      <c r="AQ65" s="3"/>
      <c r="AR65" s="3"/>
      <c r="AS65" s="3"/>
    </row>
    <row r="66" spans="3:45" x14ac:dyDescent="0.3">
      <c r="D66" t="s">
        <v>81</v>
      </c>
      <c r="E66" s="2" t="s">
        <v>82</v>
      </c>
      <c r="F66" s="21">
        <v>6</v>
      </c>
      <c r="G66" s="3" t="s">
        <v>83</v>
      </c>
      <c r="H66" s="3"/>
      <c r="I66" s="3"/>
      <c r="L66">
        <v>8</v>
      </c>
      <c r="N66">
        <v>28</v>
      </c>
      <c r="O66" s="3" t="s">
        <v>158</v>
      </c>
      <c r="P66">
        <v>9</v>
      </c>
      <c r="Q66" s="3" t="s">
        <v>171</v>
      </c>
      <c r="R66">
        <v>13</v>
      </c>
      <c r="S66" s="3" t="s">
        <v>158</v>
      </c>
      <c r="T66">
        <v>14</v>
      </c>
      <c r="U66" s="3"/>
      <c r="V66" s="3">
        <v>3</v>
      </c>
      <c r="W66" s="3"/>
      <c r="X66">
        <v>2</v>
      </c>
      <c r="Z66" s="3"/>
      <c r="AA66" s="11"/>
      <c r="AB66" s="3">
        <v>7</v>
      </c>
      <c r="AC66" s="3"/>
      <c r="AD66" s="3">
        <v>4</v>
      </c>
      <c r="AE66" s="3"/>
      <c r="AF66">
        <v>5</v>
      </c>
      <c r="AG66" s="3" t="s">
        <v>171</v>
      </c>
      <c r="AH66">
        <v>3</v>
      </c>
      <c r="AJ66">
        <v>1</v>
      </c>
      <c r="AN66" s="3"/>
      <c r="AO66" s="3"/>
      <c r="AP66" s="3"/>
      <c r="AQ66" s="3"/>
      <c r="AR66" s="3"/>
      <c r="AS66" s="3"/>
    </row>
    <row r="67" spans="3:45" x14ac:dyDescent="0.3">
      <c r="E67" s="2" t="s">
        <v>136</v>
      </c>
      <c r="F67" s="19">
        <v>4</v>
      </c>
      <c r="G67" t="s">
        <v>83</v>
      </c>
      <c r="H67" s="3"/>
      <c r="I67" s="3"/>
      <c r="J67">
        <v>5</v>
      </c>
      <c r="K67" s="3" t="s">
        <v>171</v>
      </c>
      <c r="L67">
        <v>2</v>
      </c>
      <c r="M67" s="3" t="s">
        <v>171</v>
      </c>
      <c r="N67">
        <v>2</v>
      </c>
      <c r="P67">
        <v>7</v>
      </c>
      <c r="Q67" s="3" t="s">
        <v>272</v>
      </c>
      <c r="R67">
        <v>10</v>
      </c>
      <c r="S67" s="3" t="s">
        <v>266</v>
      </c>
      <c r="T67" s="3">
        <v>4</v>
      </c>
      <c r="V67">
        <v>3</v>
      </c>
      <c r="W67" s="3"/>
      <c r="Y67" s="3"/>
      <c r="Z67" s="3">
        <v>4</v>
      </c>
      <c r="AA67" s="11"/>
      <c r="AB67" s="3">
        <v>1</v>
      </c>
      <c r="AC67" s="3"/>
      <c r="AD67" s="3">
        <v>4</v>
      </c>
      <c r="AE67" s="3"/>
      <c r="AF67">
        <v>9</v>
      </c>
      <c r="AG67" s="3" t="s">
        <v>181</v>
      </c>
      <c r="AH67">
        <v>4</v>
      </c>
      <c r="AI67" s="3" t="s">
        <v>181</v>
      </c>
      <c r="AN67" s="3"/>
      <c r="AO67" s="3"/>
      <c r="AP67" s="3"/>
      <c r="AQ67" s="3"/>
      <c r="AR67" s="3"/>
      <c r="AS67" s="3"/>
    </row>
    <row r="68" spans="3:45" x14ac:dyDescent="0.3">
      <c r="D68" t="s">
        <v>84</v>
      </c>
      <c r="E68" s="2" t="s">
        <v>85</v>
      </c>
      <c r="F68" s="21">
        <v>1</v>
      </c>
      <c r="G68" s="3" t="s">
        <v>48</v>
      </c>
      <c r="H68" s="3">
        <v>2</v>
      </c>
      <c r="I68" s="3"/>
      <c r="J68">
        <v>2</v>
      </c>
      <c r="L68">
        <v>4</v>
      </c>
      <c r="N68">
        <v>8</v>
      </c>
      <c r="P68">
        <v>4</v>
      </c>
      <c r="R68">
        <v>16</v>
      </c>
      <c r="T68">
        <v>2</v>
      </c>
      <c r="V68" s="3">
        <v>2</v>
      </c>
      <c r="W68" s="3"/>
      <c r="Y68" s="3"/>
      <c r="Z68" s="3">
        <v>8</v>
      </c>
      <c r="AB68" s="3">
        <v>40</v>
      </c>
      <c r="AC68" s="3"/>
      <c r="AD68" s="3">
        <v>22</v>
      </c>
      <c r="AE68" s="3"/>
      <c r="AF68">
        <v>4</v>
      </c>
      <c r="AH68">
        <v>18</v>
      </c>
      <c r="AJ68">
        <v>4</v>
      </c>
      <c r="AN68" s="3"/>
      <c r="AO68" s="3"/>
      <c r="AP68" s="3"/>
      <c r="AQ68" s="3"/>
      <c r="AR68" s="3"/>
      <c r="AS68" s="3"/>
    </row>
    <row r="69" spans="3:45" x14ac:dyDescent="0.3">
      <c r="D69" t="s">
        <v>217</v>
      </c>
      <c r="E69" s="2" t="s">
        <v>218</v>
      </c>
      <c r="F69" s="19">
        <v>2</v>
      </c>
      <c r="G69" t="s">
        <v>48</v>
      </c>
      <c r="H69" s="3"/>
      <c r="I69" s="3"/>
      <c r="T69" s="3"/>
      <c r="V69" s="3"/>
      <c r="W69" s="3"/>
      <c r="Y69" s="3"/>
      <c r="Z69" s="3"/>
      <c r="AB69" s="3"/>
      <c r="AC69" s="3"/>
      <c r="AD69" s="3"/>
      <c r="AE69" s="3"/>
      <c r="AN69" s="3"/>
      <c r="AO69" s="3"/>
      <c r="AP69" s="3"/>
      <c r="AQ69" s="3"/>
      <c r="AR69" s="3"/>
      <c r="AS69" s="3"/>
    </row>
    <row r="70" spans="3:45" x14ac:dyDescent="0.3">
      <c r="D70" t="s">
        <v>174</v>
      </c>
      <c r="E70" s="2" t="s">
        <v>175</v>
      </c>
      <c r="F70" s="19">
        <v>0</v>
      </c>
      <c r="G70" t="s">
        <v>48</v>
      </c>
      <c r="H70" s="3">
        <v>1</v>
      </c>
      <c r="J70">
        <v>1</v>
      </c>
      <c r="L70">
        <v>2</v>
      </c>
      <c r="P70">
        <v>1</v>
      </c>
      <c r="U70" s="3"/>
      <c r="W70" s="3"/>
      <c r="Z70" s="3">
        <v>2</v>
      </c>
      <c r="AA70" s="11"/>
      <c r="AB70" s="3"/>
      <c r="AC70" s="3"/>
      <c r="AD70" s="3">
        <v>1</v>
      </c>
      <c r="AE70" s="3"/>
      <c r="AF70">
        <v>2</v>
      </c>
      <c r="AH70">
        <v>5</v>
      </c>
      <c r="AN70" s="3"/>
      <c r="AO70" s="3"/>
      <c r="AP70" s="3"/>
      <c r="AQ70" s="3"/>
      <c r="AR70" s="3"/>
      <c r="AS70" s="3"/>
    </row>
    <row r="71" spans="3:45" x14ac:dyDescent="0.3">
      <c r="D71" t="s">
        <v>100</v>
      </c>
      <c r="E71" s="2" t="s">
        <v>226</v>
      </c>
      <c r="F71" s="19">
        <v>2</v>
      </c>
      <c r="G71" t="s">
        <v>68</v>
      </c>
      <c r="H71" s="3"/>
      <c r="V71" s="3"/>
      <c r="W71" s="3"/>
      <c r="X71" s="3"/>
      <c r="Z71" s="3"/>
      <c r="AA71" s="11"/>
      <c r="AB71" s="3"/>
      <c r="AC71" s="3"/>
      <c r="AD71" s="3"/>
      <c r="AE71" s="3"/>
      <c r="AN71" s="3"/>
      <c r="AO71" s="3"/>
      <c r="AP71" s="3"/>
      <c r="AQ71" s="3"/>
      <c r="AR71" s="3"/>
      <c r="AS71" s="3"/>
    </row>
    <row r="72" spans="3:45" x14ac:dyDescent="0.3">
      <c r="E72" s="2" t="s">
        <v>36</v>
      </c>
      <c r="F72" s="21">
        <v>3</v>
      </c>
      <c r="G72" s="3" t="s">
        <v>68</v>
      </c>
      <c r="H72" s="3"/>
      <c r="I72" s="3"/>
      <c r="J72">
        <v>3</v>
      </c>
      <c r="L72">
        <v>1</v>
      </c>
      <c r="M72" s="3" t="s">
        <v>157</v>
      </c>
      <c r="T72" s="3"/>
      <c r="U72" s="3"/>
      <c r="V72" s="3">
        <v>3</v>
      </c>
      <c r="W72" s="3" t="s">
        <v>292</v>
      </c>
      <c r="X72" s="3"/>
      <c r="Z72" s="3">
        <v>1</v>
      </c>
      <c r="AA72" s="11"/>
      <c r="AB72" s="3"/>
      <c r="AC72" s="3"/>
      <c r="AD72" s="3"/>
      <c r="AE72" s="3"/>
      <c r="AF72">
        <v>13</v>
      </c>
      <c r="AG72" s="3" t="s">
        <v>317</v>
      </c>
      <c r="AH72">
        <v>1</v>
      </c>
      <c r="AN72" s="3"/>
      <c r="AO72" s="3"/>
      <c r="AP72" s="3"/>
      <c r="AQ72" s="3"/>
      <c r="AR72" s="3"/>
      <c r="AS72" s="3"/>
    </row>
    <row r="73" spans="3:45" x14ac:dyDescent="0.3">
      <c r="D73" s="3" t="s">
        <v>277</v>
      </c>
      <c r="E73" s="2" t="s">
        <v>278</v>
      </c>
      <c r="F73" s="21" t="s">
        <v>247</v>
      </c>
      <c r="G73" s="3" t="s">
        <v>66</v>
      </c>
      <c r="H73" s="3"/>
      <c r="I73" s="3"/>
      <c r="M73" s="3"/>
      <c r="R73">
        <v>1</v>
      </c>
      <c r="T73" s="3"/>
      <c r="U73" s="3"/>
      <c r="V73" s="3">
        <v>1</v>
      </c>
      <c r="W73" s="3"/>
      <c r="X73" s="3"/>
      <c r="Z73" s="3"/>
      <c r="AA73" s="11"/>
      <c r="AB73" s="3"/>
      <c r="AC73" s="3"/>
      <c r="AD73" s="3"/>
      <c r="AE73" s="3"/>
      <c r="AN73" s="3"/>
      <c r="AO73" s="3"/>
      <c r="AP73" s="3"/>
      <c r="AQ73" s="3"/>
      <c r="AR73" s="3"/>
      <c r="AS73" s="3"/>
    </row>
    <row r="74" spans="3:45" x14ac:dyDescent="0.3">
      <c r="D74" t="s">
        <v>101</v>
      </c>
      <c r="E74" s="2" t="s">
        <v>39</v>
      </c>
      <c r="F74" s="21">
        <v>1</v>
      </c>
      <c r="G74" s="3" t="s">
        <v>66</v>
      </c>
      <c r="H74" s="3">
        <v>2</v>
      </c>
      <c r="J74">
        <v>8</v>
      </c>
      <c r="L74">
        <v>4</v>
      </c>
      <c r="N74">
        <v>4</v>
      </c>
      <c r="O74" s="3" t="s">
        <v>171</v>
      </c>
      <c r="P74">
        <v>1</v>
      </c>
      <c r="R74">
        <v>4</v>
      </c>
      <c r="T74" s="3"/>
      <c r="V74" s="3">
        <v>1</v>
      </c>
      <c r="Z74" s="3">
        <v>2</v>
      </c>
      <c r="AB74" s="3">
        <v>1</v>
      </c>
      <c r="AD74" s="3">
        <v>1</v>
      </c>
      <c r="AF74">
        <v>5</v>
      </c>
      <c r="AH74">
        <v>5</v>
      </c>
      <c r="AJ74">
        <v>4</v>
      </c>
      <c r="AN74" s="3"/>
      <c r="AO74" s="3"/>
      <c r="AP74" s="3"/>
      <c r="AQ74" s="3"/>
      <c r="AR74" s="3"/>
      <c r="AS74" s="3"/>
    </row>
    <row r="75" spans="3:45" x14ac:dyDescent="0.3">
      <c r="E75" s="2" t="s">
        <v>227</v>
      </c>
      <c r="F75" s="19">
        <v>0</v>
      </c>
      <c r="G75" t="s">
        <v>66</v>
      </c>
      <c r="H75" s="3"/>
      <c r="R75">
        <v>1</v>
      </c>
      <c r="Z75" s="3"/>
      <c r="AB75" s="3"/>
      <c r="AD75" s="3"/>
      <c r="AN75" s="3"/>
      <c r="AO75" s="3"/>
      <c r="AP75" s="3"/>
      <c r="AQ75" s="3"/>
      <c r="AR75" s="3"/>
      <c r="AS75" s="3"/>
    </row>
    <row r="76" spans="3:45" x14ac:dyDescent="0.3">
      <c r="D76" t="s">
        <v>205</v>
      </c>
      <c r="E76" s="2" t="s">
        <v>206</v>
      </c>
      <c r="F76" s="19">
        <v>3</v>
      </c>
      <c r="G76" t="s">
        <v>69</v>
      </c>
      <c r="H76" s="3"/>
      <c r="J76">
        <v>5</v>
      </c>
      <c r="L76">
        <v>17</v>
      </c>
      <c r="N76">
        <v>8</v>
      </c>
      <c r="P76">
        <v>13</v>
      </c>
      <c r="R76">
        <v>10</v>
      </c>
      <c r="T76" s="3"/>
      <c r="V76" s="3"/>
      <c r="Z76" s="3">
        <v>1</v>
      </c>
      <c r="AB76" s="3"/>
      <c r="AD76" s="3">
        <v>5</v>
      </c>
      <c r="AF76">
        <v>3</v>
      </c>
      <c r="AH76">
        <v>4</v>
      </c>
      <c r="AJ76">
        <v>10</v>
      </c>
      <c r="AN76" s="3"/>
      <c r="AO76" s="3"/>
      <c r="AP76" s="3"/>
      <c r="AQ76" s="3"/>
      <c r="AR76" s="3"/>
      <c r="AS76" s="3"/>
    </row>
    <row r="77" spans="3:45" x14ac:dyDescent="0.3">
      <c r="C77" t="s">
        <v>200</v>
      </c>
      <c r="D77" s="3" t="s">
        <v>293</v>
      </c>
      <c r="E77" s="2" t="s">
        <v>294</v>
      </c>
      <c r="F77" s="21" t="s">
        <v>295</v>
      </c>
      <c r="G77" s="3" t="s">
        <v>66</v>
      </c>
      <c r="H77" s="3"/>
      <c r="T77" s="3"/>
      <c r="V77" s="3">
        <v>1</v>
      </c>
      <c r="Z77" s="3"/>
      <c r="AB77" s="3"/>
      <c r="AD77" s="3"/>
      <c r="AN77" s="3"/>
      <c r="AO77" s="3"/>
      <c r="AP77" s="3"/>
      <c r="AQ77" s="3"/>
      <c r="AR77" s="3"/>
      <c r="AS77" s="3"/>
    </row>
    <row r="78" spans="3:45" x14ac:dyDescent="0.3">
      <c r="D78" t="s">
        <v>201</v>
      </c>
      <c r="E78" s="2" t="s">
        <v>202</v>
      </c>
      <c r="F78" s="19">
        <v>4</v>
      </c>
      <c r="G78" t="s">
        <v>66</v>
      </c>
      <c r="H78" s="3"/>
      <c r="J78">
        <v>1</v>
      </c>
      <c r="N78">
        <v>1</v>
      </c>
      <c r="R78">
        <v>2</v>
      </c>
      <c r="T78" s="3">
        <v>1</v>
      </c>
      <c r="V78" s="3">
        <v>1</v>
      </c>
      <c r="Z78" s="3">
        <v>1</v>
      </c>
      <c r="AB78" s="3">
        <v>1</v>
      </c>
      <c r="AD78" s="3">
        <v>2</v>
      </c>
      <c r="AN78" s="3"/>
      <c r="AO78" s="3"/>
      <c r="AP78" s="3"/>
      <c r="AQ78" s="3"/>
      <c r="AR78" s="3"/>
      <c r="AS78" s="3"/>
    </row>
    <row r="79" spans="3:45" x14ac:dyDescent="0.3">
      <c r="C79" s="3" t="s">
        <v>281</v>
      </c>
      <c r="D79" s="3" t="s">
        <v>282</v>
      </c>
      <c r="E79" s="2" t="s">
        <v>283</v>
      </c>
      <c r="F79" s="21" t="s">
        <v>250</v>
      </c>
      <c r="G79" s="3" t="s">
        <v>66</v>
      </c>
      <c r="H79" s="3"/>
      <c r="T79" s="3">
        <v>1</v>
      </c>
      <c r="V79" s="3"/>
      <c r="X79">
        <v>1</v>
      </c>
      <c r="Z79" s="3"/>
      <c r="AB79" s="3"/>
      <c r="AD79" s="3">
        <v>1</v>
      </c>
      <c r="AN79" s="3"/>
      <c r="AO79" s="3"/>
      <c r="AP79" s="3"/>
      <c r="AQ79" s="3"/>
      <c r="AR79" s="3"/>
      <c r="AS79" s="3"/>
    </row>
    <row r="80" spans="3:45" x14ac:dyDescent="0.3">
      <c r="C80" t="s">
        <v>86</v>
      </c>
      <c r="D80" s="3" t="s">
        <v>260</v>
      </c>
      <c r="E80" s="17" t="s">
        <v>261</v>
      </c>
      <c r="F80" s="21" t="s">
        <v>262</v>
      </c>
      <c r="G80" s="3" t="s">
        <v>66</v>
      </c>
      <c r="H80" s="3"/>
      <c r="J80">
        <v>1</v>
      </c>
      <c r="K80" s="3" t="s">
        <v>224</v>
      </c>
      <c r="T80" s="3"/>
      <c r="V80" s="3"/>
      <c r="Z80" s="3"/>
      <c r="AB80" s="3"/>
      <c r="AD80" s="3"/>
      <c r="AN80" s="3"/>
      <c r="AO80" s="3"/>
      <c r="AP80" s="3"/>
      <c r="AQ80" s="3"/>
      <c r="AR80" s="3"/>
      <c r="AS80" s="3"/>
    </row>
    <row r="81" spans="1:45" x14ac:dyDescent="0.3">
      <c r="D81" t="s">
        <v>87</v>
      </c>
      <c r="E81" s="2" t="s">
        <v>16</v>
      </c>
      <c r="F81" s="21">
        <v>4</v>
      </c>
      <c r="G81" s="3" t="s">
        <v>63</v>
      </c>
      <c r="H81" s="3"/>
      <c r="I81" s="3"/>
      <c r="L81">
        <v>5</v>
      </c>
      <c r="N81">
        <v>15</v>
      </c>
      <c r="P81">
        <v>3</v>
      </c>
      <c r="R81">
        <v>5</v>
      </c>
      <c r="T81" s="3">
        <v>3</v>
      </c>
      <c r="U81" s="3"/>
      <c r="V81" s="3">
        <v>4</v>
      </c>
      <c r="W81" s="3"/>
      <c r="X81" s="3">
        <v>2</v>
      </c>
      <c r="Y81" s="3"/>
      <c r="Z81" s="3">
        <v>20</v>
      </c>
      <c r="AA81" s="11"/>
      <c r="AB81" s="3">
        <v>4</v>
      </c>
      <c r="AC81" s="3"/>
      <c r="AD81" s="3">
        <v>2</v>
      </c>
      <c r="AE81" s="3"/>
      <c r="AF81">
        <v>7</v>
      </c>
      <c r="AH81">
        <v>5</v>
      </c>
      <c r="AN81" s="3"/>
      <c r="AO81" s="3"/>
      <c r="AP81" s="3"/>
      <c r="AQ81" s="3"/>
      <c r="AR81" s="3"/>
      <c r="AS81" s="3"/>
    </row>
    <row r="82" spans="1:45" x14ac:dyDescent="0.3">
      <c r="E82" s="2" t="s">
        <v>179</v>
      </c>
      <c r="F82" s="19">
        <v>4</v>
      </c>
      <c r="G82" t="s">
        <v>63</v>
      </c>
      <c r="H82" s="3">
        <v>6</v>
      </c>
      <c r="I82" t="s">
        <v>180</v>
      </c>
      <c r="J82">
        <v>17</v>
      </c>
      <c r="K82" s="3" t="s">
        <v>180</v>
      </c>
      <c r="T82" s="3"/>
      <c r="V82" s="3"/>
      <c r="W82" s="3"/>
      <c r="X82" s="3"/>
      <c r="Y82" s="3"/>
      <c r="Z82" s="3"/>
      <c r="AA82" s="11"/>
      <c r="AB82" s="3"/>
      <c r="AC82" s="3"/>
      <c r="AD82" s="3"/>
      <c r="AE82" s="3"/>
      <c r="AJ82">
        <v>3</v>
      </c>
      <c r="AK82" s="3" t="s">
        <v>180</v>
      </c>
      <c r="AN82" s="3"/>
      <c r="AO82" s="3"/>
      <c r="AP82" s="3"/>
      <c r="AQ82" s="3"/>
      <c r="AR82" s="3"/>
      <c r="AS82" s="3"/>
    </row>
    <row r="83" spans="1:45" x14ac:dyDescent="0.3">
      <c r="E83" s="2" t="s">
        <v>194</v>
      </c>
      <c r="F83" s="19">
        <v>4</v>
      </c>
      <c r="G83" t="s">
        <v>63</v>
      </c>
      <c r="I83" s="3"/>
      <c r="T83" s="3"/>
      <c r="V83" s="3"/>
      <c r="W83" s="3"/>
      <c r="X83" s="3"/>
      <c r="Y83" s="3"/>
      <c r="Z83" s="3"/>
      <c r="AA83" s="11"/>
      <c r="AB83" s="3"/>
      <c r="AC83" s="3"/>
      <c r="AD83" s="3"/>
      <c r="AE83" s="3"/>
      <c r="AN83" s="3"/>
      <c r="AO83" s="3"/>
      <c r="AP83" s="3"/>
      <c r="AQ83" s="3"/>
      <c r="AR83" s="3"/>
      <c r="AS83" s="3"/>
    </row>
    <row r="84" spans="1:45" x14ac:dyDescent="0.3">
      <c r="E84" s="2" t="s">
        <v>104</v>
      </c>
      <c r="F84" s="21">
        <v>4</v>
      </c>
      <c r="G84" s="3" t="s">
        <v>69</v>
      </c>
      <c r="H84" s="3">
        <v>12</v>
      </c>
      <c r="I84" s="16" t="s">
        <v>228</v>
      </c>
      <c r="J84">
        <v>12</v>
      </c>
      <c r="K84" s="3" t="s">
        <v>254</v>
      </c>
      <c r="L84">
        <v>9</v>
      </c>
      <c r="M84" s="3" t="s">
        <v>254</v>
      </c>
      <c r="N84">
        <v>34</v>
      </c>
      <c r="P84">
        <v>16</v>
      </c>
      <c r="Q84" s="3" t="s">
        <v>254</v>
      </c>
      <c r="R84">
        <v>31</v>
      </c>
      <c r="S84" s="3" t="s">
        <v>279</v>
      </c>
      <c r="T84" s="3">
        <v>24</v>
      </c>
      <c r="U84" s="3" t="s">
        <v>254</v>
      </c>
      <c r="V84" s="3">
        <v>44</v>
      </c>
      <c r="X84">
        <v>19</v>
      </c>
      <c r="Y84" s="3" t="s">
        <v>300</v>
      </c>
      <c r="Z84" s="3">
        <v>64</v>
      </c>
      <c r="AA84" s="11" t="s">
        <v>254</v>
      </c>
      <c r="AB84" s="3">
        <v>38</v>
      </c>
      <c r="AD84" s="3">
        <v>19</v>
      </c>
      <c r="AE84" s="3" t="s">
        <v>254</v>
      </c>
      <c r="AF84">
        <v>56</v>
      </c>
      <c r="AG84" s="3" t="s">
        <v>318</v>
      </c>
      <c r="AH84">
        <v>55</v>
      </c>
      <c r="AI84" s="3" t="s">
        <v>254</v>
      </c>
      <c r="AJ84">
        <v>24</v>
      </c>
      <c r="AK84" s="3" t="s">
        <v>254</v>
      </c>
      <c r="AN84" s="3"/>
      <c r="AO84" s="3"/>
      <c r="AP84" s="3"/>
      <c r="AQ84" s="3"/>
      <c r="AR84" s="3"/>
    </row>
    <row r="85" spans="1:45" x14ac:dyDescent="0.3">
      <c r="E85" s="2" t="s">
        <v>153</v>
      </c>
      <c r="F85" s="19">
        <v>4</v>
      </c>
      <c r="G85" t="s">
        <v>69</v>
      </c>
      <c r="H85" s="3"/>
      <c r="I85" s="12"/>
      <c r="J85">
        <v>7</v>
      </c>
      <c r="K85" s="3" t="s">
        <v>255</v>
      </c>
      <c r="L85">
        <v>12</v>
      </c>
      <c r="M85" s="3" t="s">
        <v>228</v>
      </c>
      <c r="N85">
        <v>1</v>
      </c>
      <c r="R85">
        <v>1</v>
      </c>
      <c r="T85">
        <v>1</v>
      </c>
      <c r="V85" s="3"/>
      <c r="X85">
        <v>7</v>
      </c>
      <c r="Z85" s="3">
        <v>2</v>
      </c>
      <c r="AB85" s="3"/>
      <c r="AD85" s="3"/>
      <c r="AF85">
        <v>14</v>
      </c>
      <c r="AH85">
        <v>10</v>
      </c>
      <c r="AI85" s="3" t="s">
        <v>300</v>
      </c>
      <c r="AJ85">
        <v>5</v>
      </c>
      <c r="AN85" s="3"/>
      <c r="AO85" s="3"/>
      <c r="AP85" s="3"/>
      <c r="AQ85" s="3"/>
      <c r="AR85" s="3"/>
    </row>
    <row r="86" spans="1:45" x14ac:dyDescent="0.3">
      <c r="E86" s="2" t="s">
        <v>125</v>
      </c>
      <c r="F86" s="21">
        <v>4</v>
      </c>
      <c r="G86" s="3" t="s">
        <v>69</v>
      </c>
      <c r="H86" s="3">
        <v>3</v>
      </c>
      <c r="J86">
        <v>1</v>
      </c>
      <c r="L86">
        <v>2</v>
      </c>
      <c r="V86">
        <v>8</v>
      </c>
      <c r="X86">
        <v>1</v>
      </c>
      <c r="Z86" s="3">
        <v>13</v>
      </c>
      <c r="AB86" s="3">
        <v>1</v>
      </c>
      <c r="AD86" s="3"/>
      <c r="AF86">
        <v>10</v>
      </c>
      <c r="AH86">
        <v>4</v>
      </c>
      <c r="AN86" s="3"/>
      <c r="AO86" s="3"/>
      <c r="AQ86" s="3"/>
      <c r="AR86" s="3"/>
      <c r="AS86" s="3"/>
    </row>
    <row r="87" spans="1:45" x14ac:dyDescent="0.3">
      <c r="D87" t="s">
        <v>102</v>
      </c>
      <c r="E87" s="2" t="s">
        <v>106</v>
      </c>
      <c r="F87" s="21">
        <v>4</v>
      </c>
      <c r="G87" s="3" t="s">
        <v>69</v>
      </c>
      <c r="I87" s="3"/>
      <c r="N87">
        <v>1</v>
      </c>
      <c r="T87">
        <v>5</v>
      </c>
      <c r="U87" s="3"/>
      <c r="V87">
        <v>1</v>
      </c>
      <c r="W87" s="3"/>
      <c r="X87" s="3"/>
      <c r="Y87" s="3"/>
      <c r="Z87" s="3"/>
      <c r="AA87" s="11"/>
      <c r="AB87" s="3"/>
      <c r="AC87" s="3"/>
      <c r="AD87" s="3"/>
      <c r="AE87" s="3"/>
      <c r="AH87">
        <v>1</v>
      </c>
      <c r="AN87" s="3"/>
      <c r="AO87" s="3"/>
      <c r="AP87" s="3"/>
      <c r="AQ87" s="3"/>
      <c r="AR87" s="3"/>
      <c r="AS87" s="3"/>
    </row>
    <row r="88" spans="1:45" x14ac:dyDescent="0.3">
      <c r="D88" t="s">
        <v>232</v>
      </c>
      <c r="E88" s="2" t="s">
        <v>233</v>
      </c>
      <c r="F88" s="19">
        <v>7</v>
      </c>
      <c r="G88" t="s">
        <v>69</v>
      </c>
      <c r="I88" s="3"/>
      <c r="U88" s="3"/>
      <c r="W88" s="3"/>
      <c r="X88" s="3"/>
      <c r="Y88" s="3"/>
      <c r="Z88" s="3"/>
      <c r="AA88" s="11"/>
      <c r="AB88" s="3"/>
      <c r="AC88" s="3"/>
      <c r="AD88" s="3"/>
      <c r="AE88" s="3"/>
      <c r="AN88" s="3"/>
      <c r="AO88" s="3"/>
      <c r="AP88" s="3"/>
      <c r="AQ88" s="3"/>
      <c r="AR88" s="3"/>
      <c r="AS88" s="3"/>
    </row>
    <row r="89" spans="1:45" x14ac:dyDescent="0.3">
      <c r="C89" t="s">
        <v>88</v>
      </c>
      <c r="E89" t="s">
        <v>88</v>
      </c>
      <c r="F89" s="19">
        <v>5</v>
      </c>
      <c r="G89" t="s">
        <v>66</v>
      </c>
      <c r="I89" s="3"/>
      <c r="V89" s="3"/>
      <c r="W89" s="3"/>
      <c r="X89" s="3"/>
      <c r="Y89" s="3"/>
      <c r="Z89" s="3"/>
      <c r="AA89" s="11"/>
      <c r="AB89" s="3"/>
      <c r="AC89" s="3"/>
      <c r="AD89" s="3"/>
      <c r="AE89" s="3"/>
      <c r="AN89" s="3"/>
      <c r="AO89" s="3"/>
      <c r="AP89" s="3"/>
      <c r="AQ89" s="3"/>
      <c r="AR89" s="3"/>
      <c r="AS89" s="3"/>
    </row>
    <row r="90" spans="1:45" x14ac:dyDescent="0.3">
      <c r="D90" t="s">
        <v>97</v>
      </c>
      <c r="E90" s="2" t="s">
        <v>154</v>
      </c>
      <c r="F90" s="19">
        <v>6</v>
      </c>
      <c r="G90" t="s">
        <v>63</v>
      </c>
      <c r="I90" s="3"/>
      <c r="T90" s="3"/>
      <c r="U90" s="3"/>
      <c r="V90">
        <v>1</v>
      </c>
      <c r="W90" s="3"/>
      <c r="X90" s="3">
        <v>1</v>
      </c>
      <c r="Y90" s="3"/>
      <c r="Z90" s="3">
        <v>1</v>
      </c>
      <c r="AA90" s="11"/>
      <c r="AB90" s="3"/>
      <c r="AC90" s="3"/>
      <c r="AD90" s="3"/>
      <c r="AE90" s="3"/>
      <c r="AF90">
        <v>1</v>
      </c>
      <c r="AH90">
        <v>1</v>
      </c>
      <c r="AJ90">
        <v>2</v>
      </c>
      <c r="AN90" s="3"/>
      <c r="AO90" s="3"/>
      <c r="AP90" s="3"/>
      <c r="AQ90" s="3"/>
      <c r="AR90" s="3"/>
      <c r="AS90" s="3"/>
    </row>
    <row r="91" spans="1:45" x14ac:dyDescent="0.3">
      <c r="E91" s="2" t="s">
        <v>98</v>
      </c>
      <c r="F91" s="21">
        <v>6</v>
      </c>
      <c r="G91" s="3" t="s">
        <v>66</v>
      </c>
      <c r="I91" s="3"/>
      <c r="J91">
        <v>1</v>
      </c>
      <c r="N91">
        <v>7</v>
      </c>
      <c r="P91">
        <v>3</v>
      </c>
      <c r="R91">
        <v>4</v>
      </c>
      <c r="T91">
        <v>22</v>
      </c>
      <c r="U91" s="3"/>
      <c r="V91" s="3">
        <v>15</v>
      </c>
      <c r="W91" s="3"/>
      <c r="X91" s="3">
        <v>11</v>
      </c>
      <c r="Y91" s="3"/>
      <c r="Z91" s="3">
        <v>2</v>
      </c>
      <c r="AA91" s="11"/>
      <c r="AB91" s="3">
        <v>7</v>
      </c>
      <c r="AC91" s="3"/>
      <c r="AD91" s="3">
        <v>5</v>
      </c>
      <c r="AE91" s="3"/>
      <c r="AF91">
        <v>5</v>
      </c>
      <c r="AH91">
        <v>9</v>
      </c>
      <c r="AJ91">
        <v>2</v>
      </c>
      <c r="AN91" s="3"/>
      <c r="AO91" s="3"/>
      <c r="AP91" s="3"/>
      <c r="AQ91" s="3"/>
      <c r="AR91" s="3"/>
      <c r="AS91" s="3"/>
    </row>
    <row r="92" spans="1:45" x14ac:dyDescent="0.3">
      <c r="A92" s="1" t="s">
        <v>107</v>
      </c>
      <c r="B92" t="s">
        <v>89</v>
      </c>
      <c r="C92" s="1" t="s">
        <v>129</v>
      </c>
      <c r="D92" s="1" t="s">
        <v>11</v>
      </c>
      <c r="E92" s="2" t="s">
        <v>185</v>
      </c>
      <c r="F92" s="21">
        <v>6</v>
      </c>
      <c r="G92" t="s">
        <v>63</v>
      </c>
      <c r="H92" s="3"/>
      <c r="I92" s="3"/>
      <c r="T92" s="3"/>
      <c r="U92" s="3"/>
      <c r="V92" s="3"/>
      <c r="W92" s="3"/>
      <c r="X92" s="3"/>
      <c r="Y92" s="3"/>
      <c r="AA92" s="11"/>
      <c r="AB92" s="3"/>
      <c r="AC92" s="3"/>
      <c r="AD92" s="3"/>
      <c r="AE92" s="3"/>
      <c r="AN92" s="3"/>
      <c r="AO92" s="3"/>
      <c r="AP92" s="3"/>
      <c r="AQ92" s="3"/>
      <c r="AR92" s="3"/>
      <c r="AS92" s="3"/>
    </row>
    <row r="93" spans="1:45" x14ac:dyDescent="0.3">
      <c r="D93" s="1"/>
      <c r="E93" s="2" t="s">
        <v>108</v>
      </c>
      <c r="F93" s="21">
        <v>6</v>
      </c>
      <c r="G93" s="3" t="s">
        <v>68</v>
      </c>
      <c r="H93" s="3"/>
      <c r="I93" s="3"/>
      <c r="J93">
        <v>2</v>
      </c>
      <c r="L93">
        <v>1</v>
      </c>
      <c r="N93">
        <v>5</v>
      </c>
      <c r="P93">
        <v>4</v>
      </c>
      <c r="R93">
        <v>5</v>
      </c>
      <c r="T93" s="3">
        <v>10</v>
      </c>
      <c r="U93" s="3"/>
      <c r="V93" s="3">
        <v>6</v>
      </c>
      <c r="W93" s="3"/>
      <c r="X93" s="3">
        <v>1</v>
      </c>
      <c r="Z93">
        <v>5</v>
      </c>
      <c r="AA93" s="11"/>
      <c r="AB93" s="3">
        <v>8</v>
      </c>
      <c r="AC93" s="3"/>
      <c r="AD93" s="3">
        <v>14</v>
      </c>
      <c r="AE93" s="3"/>
      <c r="AF93">
        <v>5</v>
      </c>
      <c r="AH93">
        <v>1</v>
      </c>
      <c r="AJ93">
        <v>3</v>
      </c>
      <c r="AN93" s="3"/>
      <c r="AO93" s="3"/>
      <c r="AP93" s="3"/>
      <c r="AQ93" s="3"/>
      <c r="AR93" s="3"/>
      <c r="AS93" s="3"/>
    </row>
    <row r="94" spans="1:45" x14ac:dyDescent="0.3">
      <c r="D94" s="1"/>
      <c r="E94" s="2" t="s">
        <v>210</v>
      </c>
      <c r="F94" s="19">
        <v>8</v>
      </c>
      <c r="G94" t="s">
        <v>63</v>
      </c>
      <c r="H94" s="3"/>
      <c r="I94" s="3"/>
      <c r="T94" s="3"/>
      <c r="U94" s="3"/>
      <c r="V94" s="3"/>
      <c r="W94" s="3"/>
      <c r="X94" s="3"/>
      <c r="AA94" s="11"/>
      <c r="AB94" s="3"/>
      <c r="AC94" s="3"/>
      <c r="AD94" s="3"/>
      <c r="AE94" s="3"/>
      <c r="AN94" s="3"/>
      <c r="AO94" s="3"/>
      <c r="AP94" s="3"/>
      <c r="AQ94" s="3"/>
      <c r="AR94" s="3"/>
      <c r="AS94" s="3"/>
    </row>
    <row r="95" spans="1:45" x14ac:dyDescent="0.3">
      <c r="D95" s="1"/>
      <c r="E95" s="2" t="s">
        <v>296</v>
      </c>
      <c r="F95" s="21" t="s">
        <v>297</v>
      </c>
      <c r="G95" t="s">
        <v>69</v>
      </c>
      <c r="H95" s="3"/>
      <c r="I95" s="3"/>
      <c r="T95" s="3"/>
      <c r="U95" s="3"/>
      <c r="V95" s="3">
        <v>1</v>
      </c>
      <c r="W95" s="3"/>
      <c r="X95" s="3"/>
      <c r="AA95" s="11"/>
      <c r="AB95" s="3"/>
      <c r="AC95" s="3"/>
      <c r="AD95" s="3"/>
      <c r="AE95" s="3"/>
      <c r="AN95" s="3"/>
      <c r="AO95" s="3"/>
      <c r="AP95" s="3"/>
      <c r="AQ95" s="3"/>
      <c r="AR95" s="3"/>
      <c r="AS95" s="3"/>
    </row>
    <row r="96" spans="1:45" x14ac:dyDescent="0.3">
      <c r="D96" s="1"/>
      <c r="E96" s="2" t="s">
        <v>155</v>
      </c>
      <c r="F96" s="19">
        <v>6</v>
      </c>
      <c r="G96" t="s">
        <v>63</v>
      </c>
      <c r="H96" s="3"/>
      <c r="I96" s="3"/>
      <c r="N96">
        <v>1</v>
      </c>
      <c r="P96">
        <v>2</v>
      </c>
      <c r="R96">
        <v>1</v>
      </c>
      <c r="T96" s="3">
        <v>3</v>
      </c>
      <c r="U96" s="3"/>
      <c r="V96">
        <v>1</v>
      </c>
      <c r="W96" s="3"/>
      <c r="X96" s="3">
        <v>1</v>
      </c>
      <c r="AA96" s="11"/>
      <c r="AB96" s="3">
        <v>5</v>
      </c>
      <c r="AC96" s="3"/>
      <c r="AD96" s="3">
        <v>3</v>
      </c>
      <c r="AE96" s="3"/>
      <c r="AH96">
        <v>2</v>
      </c>
      <c r="AJ96">
        <v>1</v>
      </c>
      <c r="AN96" s="3"/>
      <c r="AO96" s="3"/>
      <c r="AP96" s="3"/>
      <c r="AQ96" s="3"/>
      <c r="AR96" s="3"/>
      <c r="AS96" s="3"/>
    </row>
    <row r="97" spans="3:45" x14ac:dyDescent="0.3">
      <c r="C97" s="1" t="s">
        <v>130</v>
      </c>
      <c r="E97" s="2" t="s">
        <v>0</v>
      </c>
      <c r="F97" s="19">
        <v>7</v>
      </c>
      <c r="G97" t="s">
        <v>63</v>
      </c>
      <c r="L97">
        <v>4</v>
      </c>
      <c r="N97">
        <v>7</v>
      </c>
      <c r="O97" s="3" t="s">
        <v>171</v>
      </c>
      <c r="P97">
        <v>1</v>
      </c>
      <c r="T97">
        <v>2</v>
      </c>
      <c r="V97">
        <v>4</v>
      </c>
      <c r="X97">
        <v>7</v>
      </c>
      <c r="Z97">
        <v>3</v>
      </c>
      <c r="AA97" s="11" t="s">
        <v>171</v>
      </c>
      <c r="AF97">
        <v>7</v>
      </c>
    </row>
    <row r="98" spans="3:45" x14ac:dyDescent="0.3">
      <c r="C98" s="1"/>
      <c r="E98" s="2" t="s">
        <v>126</v>
      </c>
      <c r="F98" s="19">
        <v>7</v>
      </c>
      <c r="G98" t="s">
        <v>63</v>
      </c>
      <c r="J98">
        <v>4</v>
      </c>
      <c r="K98" s="3" t="s">
        <v>133</v>
      </c>
      <c r="N98">
        <v>1</v>
      </c>
      <c r="O98" t="s">
        <v>211</v>
      </c>
      <c r="P98">
        <v>3</v>
      </c>
      <c r="Q98" t="s">
        <v>211</v>
      </c>
      <c r="R98">
        <v>4</v>
      </c>
      <c r="S98" t="s">
        <v>211</v>
      </c>
      <c r="T98">
        <v>42</v>
      </c>
      <c r="U98" t="s">
        <v>211</v>
      </c>
      <c r="V98">
        <v>38</v>
      </c>
      <c r="W98" t="s">
        <v>211</v>
      </c>
      <c r="X98">
        <v>12</v>
      </c>
      <c r="Y98" s="10" t="s">
        <v>211</v>
      </c>
      <c r="Z98">
        <v>27</v>
      </c>
      <c r="AA98" s="11" t="s">
        <v>325</v>
      </c>
      <c r="AB98">
        <v>50</v>
      </c>
      <c r="AC98" s="3" t="s">
        <v>211</v>
      </c>
      <c r="AD98">
        <v>33</v>
      </c>
      <c r="AE98" s="3" t="s">
        <v>319</v>
      </c>
      <c r="AF98">
        <v>10</v>
      </c>
      <c r="AG98" s="3" t="s">
        <v>319</v>
      </c>
      <c r="AH98">
        <v>13</v>
      </c>
      <c r="AI98" s="3" t="s">
        <v>319</v>
      </c>
      <c r="AJ98">
        <v>6</v>
      </c>
    </row>
    <row r="99" spans="3:45" x14ac:dyDescent="0.3">
      <c r="C99" s="1"/>
      <c r="E99" s="2" t="s">
        <v>38</v>
      </c>
      <c r="F99" s="19">
        <v>6</v>
      </c>
      <c r="G99" t="s">
        <v>68</v>
      </c>
      <c r="J99">
        <v>6</v>
      </c>
      <c r="L99">
        <v>32</v>
      </c>
      <c r="M99" s="3" t="s">
        <v>181</v>
      </c>
      <c r="N99">
        <v>45</v>
      </c>
      <c r="O99" s="3" t="s">
        <v>158</v>
      </c>
      <c r="P99">
        <v>16</v>
      </c>
      <c r="R99">
        <v>73</v>
      </c>
      <c r="S99" s="3" t="s">
        <v>158</v>
      </c>
      <c r="T99">
        <v>26</v>
      </c>
      <c r="U99" t="s">
        <v>171</v>
      </c>
      <c r="V99">
        <v>6</v>
      </c>
      <c r="X99">
        <v>4</v>
      </c>
      <c r="AB99">
        <v>5</v>
      </c>
      <c r="AD99">
        <v>35</v>
      </c>
      <c r="AF99">
        <v>3</v>
      </c>
      <c r="AH99">
        <v>6</v>
      </c>
      <c r="AJ99">
        <v>3</v>
      </c>
    </row>
    <row r="100" spans="3:45" x14ac:dyDescent="0.3">
      <c r="E100" s="2" t="s">
        <v>25</v>
      </c>
      <c r="F100" s="21">
        <v>6</v>
      </c>
      <c r="G100" s="3" t="s">
        <v>68</v>
      </c>
      <c r="H100" s="3"/>
      <c r="I100" s="3"/>
      <c r="J100">
        <v>6</v>
      </c>
      <c r="K100" s="3" t="s">
        <v>158</v>
      </c>
      <c r="L100">
        <v>9</v>
      </c>
      <c r="M100" s="3" t="s">
        <v>181</v>
      </c>
      <c r="N100">
        <v>7</v>
      </c>
      <c r="O100" s="3" t="s">
        <v>181</v>
      </c>
      <c r="P100">
        <v>4</v>
      </c>
      <c r="R100">
        <v>4</v>
      </c>
      <c r="T100" s="3"/>
      <c r="V100" s="3"/>
      <c r="X100">
        <v>7</v>
      </c>
      <c r="Z100" s="3">
        <v>11</v>
      </c>
      <c r="AB100" s="3">
        <v>7</v>
      </c>
      <c r="AC100" s="3" t="s">
        <v>171</v>
      </c>
      <c r="AD100">
        <v>6</v>
      </c>
      <c r="AF100">
        <v>11</v>
      </c>
      <c r="AG100" s="3" t="s">
        <v>171</v>
      </c>
      <c r="AJ100">
        <v>6</v>
      </c>
      <c r="AN100" s="3"/>
      <c r="AO100" s="3"/>
      <c r="AP100" s="3"/>
      <c r="AQ100" s="3"/>
      <c r="AR100" s="3"/>
      <c r="AS100" s="3"/>
    </row>
    <row r="101" spans="3:45" x14ac:dyDescent="0.3">
      <c r="E101" s="2" t="s">
        <v>127</v>
      </c>
      <c r="F101" s="19">
        <v>4</v>
      </c>
      <c r="G101" t="s">
        <v>68</v>
      </c>
      <c r="L101">
        <v>1</v>
      </c>
      <c r="N101">
        <v>2</v>
      </c>
      <c r="P101">
        <v>3</v>
      </c>
      <c r="R101">
        <v>4</v>
      </c>
      <c r="T101">
        <v>11</v>
      </c>
      <c r="U101" s="3"/>
      <c r="V101" s="3">
        <v>11</v>
      </c>
      <c r="W101" s="3"/>
      <c r="X101">
        <v>1</v>
      </c>
      <c r="Y101" s="3"/>
      <c r="Z101" s="3">
        <v>4</v>
      </c>
      <c r="AA101" s="11"/>
      <c r="AB101" s="3">
        <v>12</v>
      </c>
      <c r="AC101" s="3"/>
      <c r="AD101">
        <v>4</v>
      </c>
      <c r="AE101" s="3"/>
      <c r="AN101" s="3"/>
      <c r="AO101" s="3"/>
      <c r="AR101" s="3"/>
      <c r="AS101" s="3"/>
    </row>
    <row r="102" spans="3:45" x14ac:dyDescent="0.3">
      <c r="E102" s="17" t="s">
        <v>256</v>
      </c>
      <c r="F102" s="19">
        <v>4</v>
      </c>
      <c r="G102" t="s">
        <v>68</v>
      </c>
      <c r="J102">
        <v>1</v>
      </c>
      <c r="L102">
        <v>3</v>
      </c>
      <c r="M102" s="3" t="s">
        <v>171</v>
      </c>
      <c r="U102" s="3"/>
      <c r="V102" s="3">
        <v>2</v>
      </c>
      <c r="W102" s="3"/>
      <c r="X102">
        <v>2</v>
      </c>
      <c r="Y102" s="3"/>
      <c r="Z102" s="3">
        <v>2</v>
      </c>
      <c r="AA102" s="11" t="s">
        <v>171</v>
      </c>
      <c r="AB102" s="3"/>
      <c r="AC102" s="3"/>
      <c r="AD102">
        <v>1</v>
      </c>
      <c r="AE102" s="3"/>
      <c r="AJ102">
        <v>2</v>
      </c>
      <c r="AK102" s="3" t="s">
        <v>171</v>
      </c>
      <c r="AN102" s="3"/>
      <c r="AO102" s="3"/>
      <c r="AR102" s="3"/>
      <c r="AS102" s="3"/>
    </row>
    <row r="103" spans="3:45" x14ac:dyDescent="0.3">
      <c r="E103" s="2" t="s">
        <v>24</v>
      </c>
      <c r="F103" s="21">
        <v>6</v>
      </c>
      <c r="G103" s="3" t="s">
        <v>68</v>
      </c>
      <c r="I103" s="3"/>
      <c r="L103">
        <v>2</v>
      </c>
      <c r="M103" s="3" t="s">
        <v>171</v>
      </c>
      <c r="N103">
        <v>6</v>
      </c>
      <c r="P103">
        <v>2</v>
      </c>
      <c r="R103">
        <v>6</v>
      </c>
      <c r="T103">
        <v>22</v>
      </c>
      <c r="U103" s="3" t="s">
        <v>158</v>
      </c>
      <c r="V103" s="3">
        <v>3</v>
      </c>
      <c r="X103">
        <v>4</v>
      </c>
      <c r="Y103" s="3"/>
      <c r="Z103" s="3"/>
      <c r="AA103" s="11"/>
      <c r="AB103" s="3">
        <v>18</v>
      </c>
      <c r="AD103">
        <v>7</v>
      </c>
      <c r="AE103" s="3"/>
      <c r="AH103">
        <v>3</v>
      </c>
      <c r="AN103" s="3"/>
      <c r="AO103" s="3"/>
      <c r="AP103" s="3"/>
      <c r="AR103" s="3"/>
      <c r="AS103" s="3"/>
    </row>
    <row r="104" spans="3:45" x14ac:dyDescent="0.3">
      <c r="C104" s="1" t="s">
        <v>116</v>
      </c>
      <c r="D104" s="1"/>
      <c r="E104" s="2" t="s">
        <v>156</v>
      </c>
      <c r="F104" s="19">
        <v>2</v>
      </c>
      <c r="G104" t="s">
        <v>63</v>
      </c>
      <c r="H104" s="3"/>
      <c r="R104">
        <v>1</v>
      </c>
      <c r="T104" s="3"/>
      <c r="U104" s="3"/>
      <c r="V104" s="3"/>
      <c r="W104" s="3"/>
      <c r="X104" s="3"/>
      <c r="Y104" s="3"/>
      <c r="Z104" s="3"/>
      <c r="AA104" s="11"/>
      <c r="AB104" s="3"/>
      <c r="AC104" s="3"/>
      <c r="AD104" s="3"/>
      <c r="AE104" s="3"/>
      <c r="AN104" s="3"/>
      <c r="AO104" s="3"/>
      <c r="AP104" s="3"/>
      <c r="AQ104" s="3"/>
      <c r="AR104" s="3"/>
      <c r="AS104" s="3"/>
    </row>
    <row r="105" spans="3:45" x14ac:dyDescent="0.3">
      <c r="C105" s="1" t="s">
        <v>117</v>
      </c>
      <c r="E105" s="3" t="s">
        <v>310</v>
      </c>
      <c r="F105" s="19">
        <v>5</v>
      </c>
      <c r="G105" t="s">
        <v>63</v>
      </c>
      <c r="H105" s="3"/>
      <c r="T105" s="3"/>
      <c r="U105" s="3"/>
      <c r="V105" s="3"/>
      <c r="W105" s="3"/>
      <c r="X105" s="3"/>
      <c r="Y105" s="3"/>
      <c r="Z105" s="3"/>
      <c r="AA105" s="11"/>
      <c r="AB105" s="3"/>
      <c r="AC105" s="3"/>
      <c r="AD105" s="3"/>
      <c r="AE105" s="3"/>
      <c r="AN105" s="3"/>
      <c r="AO105" s="3"/>
      <c r="AP105" s="3"/>
      <c r="AQ105" s="3"/>
      <c r="AR105" s="3"/>
      <c r="AS105" s="3"/>
    </row>
    <row r="106" spans="3:45" x14ac:dyDescent="0.3">
      <c r="E106" t="s">
        <v>172</v>
      </c>
      <c r="F106" s="19">
        <v>5</v>
      </c>
      <c r="G106" t="s">
        <v>63</v>
      </c>
      <c r="H106" s="3"/>
      <c r="T106" s="3">
        <v>1</v>
      </c>
      <c r="U106" s="3" t="s">
        <v>284</v>
      </c>
      <c r="V106" s="3"/>
      <c r="W106" s="3"/>
      <c r="X106" s="3"/>
      <c r="Y106" s="3"/>
      <c r="Z106" s="3"/>
      <c r="AA106" s="11"/>
      <c r="AB106" s="3"/>
      <c r="AC106" s="3"/>
      <c r="AD106" s="3"/>
      <c r="AE106" s="3"/>
      <c r="AN106" s="3"/>
      <c r="AO106" s="3"/>
      <c r="AP106" s="3"/>
      <c r="AQ106" s="3"/>
      <c r="AR106" s="3"/>
      <c r="AS106" s="3"/>
    </row>
    <row r="107" spans="3:45" x14ac:dyDescent="0.3">
      <c r="E107" s="2" t="s">
        <v>10</v>
      </c>
      <c r="F107" s="21">
        <v>5</v>
      </c>
      <c r="G107" s="3" t="s">
        <v>48</v>
      </c>
      <c r="H107" s="3"/>
      <c r="I107" s="3"/>
      <c r="J107">
        <v>1</v>
      </c>
      <c r="L107">
        <v>1</v>
      </c>
      <c r="R107">
        <v>3</v>
      </c>
      <c r="S107" s="3" t="s">
        <v>171</v>
      </c>
      <c r="T107" s="3"/>
      <c r="U107" s="3"/>
      <c r="V107" s="3">
        <v>1</v>
      </c>
      <c r="W107" s="3"/>
      <c r="X107" s="3">
        <v>2</v>
      </c>
      <c r="Y107" s="3"/>
      <c r="Z107" s="3"/>
      <c r="AA107" s="11"/>
      <c r="AB107" s="3">
        <v>5</v>
      </c>
      <c r="AC107" s="3"/>
      <c r="AD107" s="3">
        <v>3</v>
      </c>
      <c r="AE107" s="3"/>
      <c r="AF107">
        <v>3</v>
      </c>
      <c r="AH107">
        <v>4</v>
      </c>
      <c r="AJ107">
        <v>3</v>
      </c>
      <c r="AN107" s="3"/>
      <c r="AO107" s="3"/>
      <c r="AP107" s="3"/>
      <c r="AQ107" s="3"/>
      <c r="AR107" s="3"/>
      <c r="AS107" s="3"/>
    </row>
    <row r="108" spans="3:45" x14ac:dyDescent="0.3">
      <c r="E108" s="2" t="s">
        <v>8</v>
      </c>
      <c r="F108" s="21">
        <v>7</v>
      </c>
      <c r="G108" s="3" t="s">
        <v>63</v>
      </c>
      <c r="H108" s="3"/>
      <c r="N108">
        <v>1</v>
      </c>
      <c r="T108" s="3"/>
      <c r="V108" s="3"/>
      <c r="W108" s="3"/>
      <c r="X108" s="3"/>
      <c r="Z108" s="3">
        <v>1</v>
      </c>
      <c r="AB108" s="3">
        <v>2</v>
      </c>
      <c r="AD108" s="3">
        <v>1</v>
      </c>
      <c r="AJ108">
        <v>1</v>
      </c>
      <c r="AN108" s="3"/>
      <c r="AO108" s="3"/>
      <c r="AP108" s="3"/>
      <c r="AQ108" s="3"/>
      <c r="AR108" s="3"/>
    </row>
    <row r="109" spans="3:45" x14ac:dyDescent="0.3">
      <c r="E109" s="2" t="s">
        <v>26</v>
      </c>
      <c r="F109" s="21">
        <v>7</v>
      </c>
      <c r="G109" s="3" t="s">
        <v>63</v>
      </c>
      <c r="J109">
        <v>15</v>
      </c>
      <c r="L109">
        <v>19</v>
      </c>
      <c r="N109">
        <v>31</v>
      </c>
      <c r="P109">
        <v>14</v>
      </c>
      <c r="Q109" s="3" t="s">
        <v>273</v>
      </c>
      <c r="R109">
        <v>29</v>
      </c>
      <c r="S109" s="3" t="s">
        <v>171</v>
      </c>
      <c r="T109" s="3">
        <v>49</v>
      </c>
      <c r="V109" s="3">
        <v>7</v>
      </c>
      <c r="W109" s="3" t="s">
        <v>253</v>
      </c>
      <c r="X109" s="3">
        <v>3</v>
      </c>
      <c r="Y109" s="3"/>
      <c r="Z109" s="3">
        <v>10</v>
      </c>
      <c r="AA109" s="11"/>
      <c r="AB109" s="3">
        <v>6</v>
      </c>
      <c r="AD109" s="3">
        <v>26</v>
      </c>
      <c r="AE109" s="3" t="s">
        <v>171</v>
      </c>
      <c r="AF109">
        <v>11</v>
      </c>
      <c r="AH109">
        <v>24</v>
      </c>
      <c r="AJ109">
        <v>3</v>
      </c>
      <c r="AK109" s="3" t="s">
        <v>332</v>
      </c>
      <c r="AN109" s="3"/>
      <c r="AO109" s="3"/>
      <c r="AP109" s="3"/>
      <c r="AQ109" s="3"/>
      <c r="AR109" s="3"/>
    </row>
    <row r="110" spans="3:45" x14ac:dyDescent="0.3">
      <c r="E110" s="2" t="s">
        <v>229</v>
      </c>
      <c r="F110" s="19">
        <v>8</v>
      </c>
      <c r="G110" t="s">
        <v>67</v>
      </c>
      <c r="P110">
        <v>1</v>
      </c>
      <c r="Q110" s="3" t="s">
        <v>274</v>
      </c>
      <c r="T110" s="3"/>
      <c r="V110" s="3"/>
      <c r="W110" s="3"/>
      <c r="X110" s="3"/>
      <c r="Y110" s="3"/>
      <c r="Z110" s="3"/>
      <c r="AA110" s="11"/>
      <c r="AB110" s="3"/>
      <c r="AD110" s="3"/>
      <c r="AF110">
        <v>1</v>
      </c>
      <c r="AG110" s="3" t="s">
        <v>274</v>
      </c>
      <c r="AN110" s="3"/>
      <c r="AO110" s="3"/>
      <c r="AP110" s="3"/>
      <c r="AQ110" s="3"/>
      <c r="AR110" s="3"/>
    </row>
    <row r="111" spans="3:45" x14ac:dyDescent="0.3">
      <c r="E111" s="2" t="s">
        <v>121</v>
      </c>
      <c r="F111" s="21">
        <v>8</v>
      </c>
      <c r="G111" s="3" t="s">
        <v>67</v>
      </c>
      <c r="H111" s="3">
        <v>1</v>
      </c>
      <c r="I111" s="3"/>
      <c r="J111">
        <v>4</v>
      </c>
      <c r="L111">
        <v>1</v>
      </c>
      <c r="N111">
        <v>5</v>
      </c>
      <c r="P111">
        <v>3</v>
      </c>
      <c r="R111">
        <v>3</v>
      </c>
      <c r="T111">
        <v>6</v>
      </c>
      <c r="U111" s="3"/>
      <c r="W111" s="3"/>
      <c r="Y111" s="3"/>
      <c r="Z111">
        <v>1</v>
      </c>
      <c r="AA111" s="11"/>
      <c r="AB111" s="3">
        <v>1</v>
      </c>
      <c r="AC111" s="3"/>
      <c r="AD111" s="3"/>
      <c r="AE111" s="3"/>
      <c r="AF111">
        <v>1</v>
      </c>
      <c r="AJ111">
        <v>1</v>
      </c>
      <c r="AN111" s="3"/>
      <c r="AO111" s="3"/>
      <c r="AP111" s="3"/>
      <c r="AQ111" s="3"/>
      <c r="AR111" s="3"/>
      <c r="AS111" s="3"/>
    </row>
    <row r="112" spans="3:45" x14ac:dyDescent="0.3">
      <c r="E112" s="2" t="s">
        <v>122</v>
      </c>
      <c r="F112" s="21">
        <v>8</v>
      </c>
      <c r="G112" s="3" t="s">
        <v>67</v>
      </c>
      <c r="H112" s="3"/>
      <c r="I112" s="3"/>
      <c r="U112" s="3"/>
      <c r="V112" s="3"/>
      <c r="W112" s="3"/>
      <c r="X112" s="3"/>
      <c r="Y112" s="3"/>
      <c r="AA112" s="11"/>
      <c r="AB112" s="3"/>
      <c r="AC112" s="3"/>
      <c r="AE112" s="3"/>
      <c r="AN112" s="3"/>
      <c r="AO112" s="3"/>
      <c r="AP112" s="3"/>
      <c r="AQ112" s="3"/>
      <c r="AR112" s="3"/>
      <c r="AS112" s="3"/>
    </row>
    <row r="113" spans="3:45" x14ac:dyDescent="0.3">
      <c r="E113" s="2" t="s">
        <v>139</v>
      </c>
      <c r="F113" s="19">
        <v>6</v>
      </c>
      <c r="G113" t="s">
        <v>63</v>
      </c>
      <c r="I113" s="3"/>
      <c r="T113" s="3">
        <v>1</v>
      </c>
      <c r="U113" s="3"/>
      <c r="V113" s="3">
        <v>1</v>
      </c>
      <c r="W113" s="3"/>
      <c r="Y113" s="3"/>
      <c r="Z113" s="3"/>
      <c r="AA113" s="11"/>
      <c r="AB113" s="3"/>
      <c r="AC113" s="3"/>
      <c r="AE113" s="3"/>
      <c r="AN113" s="3"/>
      <c r="AO113" s="3"/>
      <c r="AP113" s="3"/>
      <c r="AQ113" s="3"/>
      <c r="AR113" s="3"/>
      <c r="AS113" s="3"/>
    </row>
    <row r="114" spans="3:45" x14ac:dyDescent="0.3">
      <c r="E114" s="2" t="s">
        <v>128</v>
      </c>
      <c r="F114" s="19">
        <v>0</v>
      </c>
      <c r="G114" t="s">
        <v>63</v>
      </c>
      <c r="H114" s="3"/>
      <c r="I114" s="3"/>
      <c r="T114" s="3"/>
      <c r="U114" s="3"/>
      <c r="V114" s="3"/>
      <c r="W114" s="3"/>
      <c r="X114" s="3"/>
      <c r="Y114" s="3"/>
      <c r="Z114" s="3"/>
      <c r="AN114" s="3"/>
      <c r="AO114" s="3"/>
      <c r="AP114" s="3"/>
      <c r="AQ114" s="3"/>
      <c r="AR114" s="3"/>
      <c r="AS114" s="3"/>
    </row>
    <row r="115" spans="3:45" x14ac:dyDescent="0.3">
      <c r="E115" s="2" t="s">
        <v>159</v>
      </c>
      <c r="F115" s="19">
        <v>1</v>
      </c>
      <c r="G115" s="3" t="s">
        <v>63</v>
      </c>
      <c r="H115" s="3"/>
      <c r="I115" s="3"/>
      <c r="T115" s="3"/>
      <c r="U115" s="3"/>
      <c r="V115" s="3"/>
      <c r="W115" s="3"/>
      <c r="X115" s="3">
        <v>1</v>
      </c>
      <c r="Y115" s="3"/>
      <c r="Z115" s="3"/>
      <c r="AA115" s="11"/>
      <c r="AB115" s="3"/>
      <c r="AC115" s="3"/>
      <c r="AD115" s="3"/>
      <c r="AE115" s="3"/>
      <c r="AN115" s="3"/>
      <c r="AO115" s="3"/>
      <c r="AP115" s="3"/>
      <c r="AQ115" s="3"/>
      <c r="AR115" s="3"/>
      <c r="AS115" s="3"/>
    </row>
    <row r="116" spans="3:45" x14ac:dyDescent="0.3">
      <c r="E116" s="2" t="s">
        <v>320</v>
      </c>
      <c r="F116" s="19">
        <v>8</v>
      </c>
      <c r="G116" s="3" t="s">
        <v>63</v>
      </c>
      <c r="H116" s="3"/>
      <c r="I116" s="3"/>
      <c r="T116" s="3"/>
      <c r="U116" s="3"/>
      <c r="V116" s="3"/>
      <c r="W116" s="3"/>
      <c r="X116" s="3"/>
      <c r="Y116" s="3"/>
      <c r="Z116" s="3"/>
      <c r="AA116" s="11"/>
      <c r="AB116" s="3"/>
      <c r="AC116" s="3"/>
      <c r="AD116" s="3"/>
      <c r="AE116" s="3"/>
      <c r="AF116">
        <v>1</v>
      </c>
      <c r="AG116" s="3" t="s">
        <v>257</v>
      </c>
      <c r="AN116" s="3"/>
      <c r="AO116" s="3"/>
      <c r="AP116" s="3"/>
      <c r="AQ116" s="3"/>
      <c r="AR116" s="3"/>
      <c r="AS116" s="3"/>
    </row>
    <row r="117" spans="3:45" x14ac:dyDescent="0.3">
      <c r="E117" s="2" t="s">
        <v>199</v>
      </c>
      <c r="F117" s="19">
        <v>6</v>
      </c>
      <c r="G117" t="s">
        <v>63</v>
      </c>
      <c r="H117" s="3"/>
      <c r="T117" s="3"/>
      <c r="U117" s="3"/>
      <c r="V117" s="3"/>
      <c r="W117" s="3"/>
      <c r="X117" s="3"/>
      <c r="Z117" s="3">
        <v>1</v>
      </c>
      <c r="AA117" s="11"/>
      <c r="AB117" s="3"/>
      <c r="AD117" s="3"/>
      <c r="AN117" s="3"/>
      <c r="AP117" s="3"/>
      <c r="AQ117" s="3"/>
      <c r="AR117" s="3"/>
    </row>
    <row r="118" spans="3:45" x14ac:dyDescent="0.3">
      <c r="E118" s="2" t="s">
        <v>225</v>
      </c>
      <c r="F118" s="19">
        <v>2</v>
      </c>
      <c r="G118" t="s">
        <v>63</v>
      </c>
      <c r="H118" s="3"/>
      <c r="T118" s="3"/>
      <c r="U118" s="3"/>
      <c r="V118" s="3"/>
      <c r="W118" s="3"/>
      <c r="X118" s="3"/>
      <c r="Z118" s="3"/>
      <c r="AA118" s="11"/>
      <c r="AB118" s="3"/>
      <c r="AD118" s="3"/>
      <c r="AN118" s="3"/>
      <c r="AP118" s="3"/>
      <c r="AQ118" s="3"/>
      <c r="AR118" s="3"/>
    </row>
    <row r="119" spans="3:45" x14ac:dyDescent="0.3">
      <c r="E119" s="2" t="s">
        <v>131</v>
      </c>
      <c r="F119" s="19">
        <v>4</v>
      </c>
      <c r="G119" t="s">
        <v>63</v>
      </c>
      <c r="H119" s="3"/>
      <c r="L119">
        <v>3</v>
      </c>
      <c r="N119">
        <v>7</v>
      </c>
      <c r="P119">
        <v>2</v>
      </c>
      <c r="Q119" s="3" t="s">
        <v>275</v>
      </c>
      <c r="R119">
        <v>6</v>
      </c>
      <c r="S119" s="3" t="s">
        <v>158</v>
      </c>
      <c r="T119" s="3">
        <v>33</v>
      </c>
      <c r="U119" s="3" t="s">
        <v>171</v>
      </c>
      <c r="V119" s="3">
        <v>16</v>
      </c>
      <c r="W119" s="3" t="s">
        <v>171</v>
      </c>
      <c r="X119" s="3">
        <v>9</v>
      </c>
      <c r="Y119" s="3"/>
      <c r="Z119" s="3">
        <v>10</v>
      </c>
      <c r="AA119" s="11"/>
      <c r="AB119" s="3">
        <v>16</v>
      </c>
      <c r="AC119" s="3"/>
      <c r="AD119" s="3">
        <v>20</v>
      </c>
      <c r="AE119" s="3"/>
      <c r="AF119">
        <v>2</v>
      </c>
      <c r="AH119">
        <v>6</v>
      </c>
      <c r="AI119" s="3" t="s">
        <v>291</v>
      </c>
      <c r="AJ119">
        <v>2</v>
      </c>
      <c r="AN119" s="3"/>
      <c r="AO119" s="3"/>
      <c r="AP119" s="3"/>
      <c r="AQ119" s="3"/>
      <c r="AR119" s="3"/>
      <c r="AS119" s="3"/>
    </row>
    <row r="120" spans="3:45" x14ac:dyDescent="0.3">
      <c r="E120" s="2" t="s">
        <v>1</v>
      </c>
      <c r="F120" s="21">
        <v>5</v>
      </c>
      <c r="G120" s="3" t="s">
        <v>63</v>
      </c>
      <c r="H120" s="3">
        <v>1</v>
      </c>
      <c r="I120" s="3"/>
      <c r="J120">
        <v>1</v>
      </c>
      <c r="L120">
        <v>1</v>
      </c>
      <c r="T120" s="3">
        <v>4</v>
      </c>
      <c r="U120" s="3"/>
      <c r="V120" s="3">
        <v>4</v>
      </c>
      <c r="W120" s="3"/>
      <c r="X120" s="3">
        <v>1</v>
      </c>
      <c r="Y120" s="3"/>
      <c r="Z120" s="3">
        <v>13</v>
      </c>
      <c r="AB120" s="3">
        <v>1</v>
      </c>
      <c r="AD120" s="3"/>
      <c r="AE120" s="3"/>
      <c r="AF120">
        <v>8</v>
      </c>
      <c r="AH120">
        <v>1</v>
      </c>
      <c r="AJ120">
        <v>1</v>
      </c>
      <c r="AN120" s="3"/>
      <c r="AP120" s="3"/>
      <c r="AQ120" s="3"/>
      <c r="AR120" s="3"/>
      <c r="AS120" s="3"/>
    </row>
    <row r="121" spans="3:45" x14ac:dyDescent="0.3">
      <c r="E121" s="2" t="s">
        <v>203</v>
      </c>
      <c r="F121" s="19">
        <v>5</v>
      </c>
      <c r="G121" t="s">
        <v>63</v>
      </c>
      <c r="H121" s="3"/>
      <c r="I121" s="3"/>
      <c r="T121" s="3"/>
      <c r="U121" s="3"/>
      <c r="V121" s="3"/>
      <c r="W121" s="3"/>
      <c r="X121" s="3"/>
      <c r="Y121" s="3"/>
      <c r="Z121" s="3"/>
      <c r="AB121" s="3"/>
      <c r="AD121" s="3"/>
      <c r="AE121" s="3"/>
      <c r="AN121" s="3"/>
      <c r="AP121" s="3"/>
      <c r="AQ121" s="3"/>
      <c r="AR121" s="3"/>
      <c r="AS121" s="3"/>
    </row>
    <row r="122" spans="3:45" x14ac:dyDescent="0.3">
      <c r="E122" s="2" t="s">
        <v>2</v>
      </c>
      <c r="F122" s="21">
        <v>6</v>
      </c>
      <c r="G122" s="3" t="s">
        <v>67</v>
      </c>
      <c r="H122" s="3"/>
      <c r="I122" s="3"/>
      <c r="J122">
        <v>12</v>
      </c>
      <c r="L122">
        <v>13</v>
      </c>
      <c r="N122">
        <v>38</v>
      </c>
      <c r="P122">
        <v>16</v>
      </c>
      <c r="Q122" s="3" t="s">
        <v>276</v>
      </c>
      <c r="R122">
        <v>15</v>
      </c>
      <c r="S122" s="3" t="s">
        <v>171</v>
      </c>
      <c r="T122" s="3">
        <v>20</v>
      </c>
      <c r="U122" s="3"/>
      <c r="V122" s="3">
        <v>18</v>
      </c>
      <c r="W122" s="3"/>
      <c r="X122" s="3">
        <v>10</v>
      </c>
      <c r="Z122" s="3">
        <v>41</v>
      </c>
      <c r="AB122" s="3">
        <v>25</v>
      </c>
      <c r="AC122" s="3"/>
      <c r="AD122" s="3">
        <v>32</v>
      </c>
      <c r="AE122" s="3"/>
      <c r="AF122">
        <v>18</v>
      </c>
      <c r="AH122">
        <v>18</v>
      </c>
      <c r="AI122" s="3" t="s">
        <v>171</v>
      </c>
      <c r="AJ122">
        <v>7</v>
      </c>
      <c r="AN122" s="3"/>
      <c r="AO122" s="3"/>
      <c r="AP122" s="3"/>
      <c r="AQ122" s="3"/>
      <c r="AR122" s="3"/>
    </row>
    <row r="123" spans="3:45" x14ac:dyDescent="0.3">
      <c r="E123" s="2" t="s">
        <v>95</v>
      </c>
      <c r="F123" s="19">
        <v>2</v>
      </c>
      <c r="G123" s="3" t="s">
        <v>63</v>
      </c>
      <c r="H123" s="3"/>
      <c r="J123">
        <v>36</v>
      </c>
      <c r="K123" s="3" t="s">
        <v>258</v>
      </c>
      <c r="L123">
        <v>40</v>
      </c>
      <c r="M123" s="3" t="s">
        <v>266</v>
      </c>
      <c r="N123">
        <v>72</v>
      </c>
      <c r="O123" s="3" t="s">
        <v>270</v>
      </c>
      <c r="P123">
        <v>21</v>
      </c>
      <c r="Q123" s="3" t="s">
        <v>266</v>
      </c>
      <c r="R123">
        <v>45</v>
      </c>
      <c r="S123" s="3" t="s">
        <v>280</v>
      </c>
      <c r="T123" s="3">
        <v>13</v>
      </c>
      <c r="U123" t="s">
        <v>158</v>
      </c>
      <c r="V123" s="3">
        <v>13</v>
      </c>
      <c r="W123" s="3" t="s">
        <v>171</v>
      </c>
      <c r="X123">
        <v>6</v>
      </c>
      <c r="Z123" s="3">
        <v>9</v>
      </c>
      <c r="AA123" s="11" t="s">
        <v>171</v>
      </c>
      <c r="AB123" s="3">
        <v>26</v>
      </c>
      <c r="AC123" s="3" t="s">
        <v>181</v>
      </c>
      <c r="AD123" s="3">
        <v>28</v>
      </c>
      <c r="AE123" s="3" t="s">
        <v>158</v>
      </c>
      <c r="AF123">
        <v>11</v>
      </c>
      <c r="AG123" s="3" t="s">
        <v>171</v>
      </c>
      <c r="AH123">
        <v>15</v>
      </c>
      <c r="AI123" s="3" t="s">
        <v>158</v>
      </c>
      <c r="AJ123">
        <v>11</v>
      </c>
      <c r="AN123" s="3"/>
      <c r="AO123" s="3"/>
      <c r="AP123" s="3"/>
      <c r="AQ123" s="3"/>
      <c r="AR123" s="3"/>
      <c r="AS123" s="3"/>
    </row>
    <row r="124" spans="3:45" x14ac:dyDescent="0.3">
      <c r="E124" s="2" t="s">
        <v>57</v>
      </c>
      <c r="F124" s="21">
        <v>6</v>
      </c>
      <c r="G124" s="3" t="s">
        <v>63</v>
      </c>
      <c r="H124" s="3"/>
      <c r="J124">
        <v>1</v>
      </c>
      <c r="K124" s="3" t="s">
        <v>257</v>
      </c>
      <c r="L124">
        <v>4</v>
      </c>
      <c r="M124" s="3" t="s">
        <v>171</v>
      </c>
      <c r="N124">
        <v>4</v>
      </c>
      <c r="P124">
        <v>1</v>
      </c>
      <c r="R124">
        <v>3</v>
      </c>
      <c r="T124" s="3">
        <v>5</v>
      </c>
      <c r="U124" s="3"/>
      <c r="V124" s="3"/>
      <c r="W124" s="3"/>
      <c r="X124">
        <v>2</v>
      </c>
      <c r="Y124" s="3"/>
      <c r="Z124" s="3">
        <v>2</v>
      </c>
      <c r="AA124" s="11"/>
      <c r="AB124" s="3">
        <v>1</v>
      </c>
      <c r="AC124" s="3"/>
      <c r="AD124" s="3">
        <v>4</v>
      </c>
      <c r="AE124" s="2"/>
      <c r="AF124">
        <v>5</v>
      </c>
      <c r="AN124" s="3"/>
      <c r="AO124" s="3"/>
      <c r="AP124" s="3"/>
      <c r="AQ124" s="3"/>
      <c r="AR124" s="3"/>
    </row>
    <row r="125" spans="3:45" x14ac:dyDescent="0.3">
      <c r="E125" s="2" t="s">
        <v>123</v>
      </c>
      <c r="F125" s="21">
        <v>5</v>
      </c>
      <c r="G125" s="3" t="s">
        <v>63</v>
      </c>
      <c r="H125" s="3"/>
      <c r="I125" s="3"/>
      <c r="L125">
        <v>1</v>
      </c>
      <c r="N125">
        <v>1</v>
      </c>
      <c r="R125">
        <v>1</v>
      </c>
      <c r="U125" s="3"/>
      <c r="W125" s="3"/>
      <c r="Y125" s="3"/>
      <c r="Z125" s="3">
        <v>2</v>
      </c>
      <c r="AB125" s="3"/>
      <c r="AC125" s="3"/>
      <c r="AD125" s="3">
        <v>2</v>
      </c>
      <c r="AE125" s="3"/>
      <c r="AF125">
        <v>1</v>
      </c>
      <c r="AN125" s="3"/>
      <c r="AO125" s="3"/>
      <c r="AP125" s="3"/>
      <c r="AQ125" s="3"/>
      <c r="AR125" s="3"/>
      <c r="AS125" s="3"/>
    </row>
    <row r="126" spans="3:45" x14ac:dyDescent="0.3">
      <c r="C126" s="1" t="s">
        <v>64</v>
      </c>
      <c r="E126" t="s">
        <v>212</v>
      </c>
      <c r="F126" s="19">
        <v>6</v>
      </c>
      <c r="G126" t="s">
        <v>66</v>
      </c>
      <c r="T126" s="3"/>
      <c r="U126" s="3"/>
      <c r="V126" s="3"/>
      <c r="W126" s="3"/>
      <c r="X126">
        <v>1</v>
      </c>
      <c r="Y126" s="3" t="s">
        <v>211</v>
      </c>
      <c r="Z126" s="3"/>
      <c r="AA126" s="11"/>
      <c r="AB126" s="3"/>
      <c r="AC126" s="3"/>
      <c r="AD126" s="3"/>
      <c r="AE126" s="3"/>
      <c r="AH126">
        <v>2</v>
      </c>
      <c r="AI126" s="3" t="s">
        <v>325</v>
      </c>
      <c r="AJ126">
        <v>4</v>
      </c>
      <c r="AK126" s="3" t="s">
        <v>325</v>
      </c>
      <c r="AN126" s="3"/>
      <c r="AO126" s="3"/>
      <c r="AP126" s="3"/>
      <c r="AQ126" s="3"/>
      <c r="AR126" s="3"/>
      <c r="AS126" s="3"/>
    </row>
    <row r="127" spans="3:45" x14ac:dyDescent="0.3">
      <c r="C127" s="1"/>
      <c r="E127" s="2" t="s">
        <v>285</v>
      </c>
      <c r="F127" s="18">
        <v>8</v>
      </c>
      <c r="G127" t="s">
        <v>63</v>
      </c>
      <c r="T127" s="3">
        <v>1</v>
      </c>
      <c r="U127" s="3"/>
      <c r="V127" s="3"/>
      <c r="W127" s="3"/>
      <c r="X127" s="3"/>
      <c r="Y127" s="3"/>
      <c r="Z127" s="3"/>
      <c r="AA127" s="11"/>
      <c r="AB127" s="3"/>
      <c r="AC127" s="3"/>
      <c r="AD127" s="3"/>
      <c r="AE127" s="3"/>
      <c r="AN127" s="3"/>
      <c r="AO127" s="3"/>
      <c r="AP127" s="3"/>
      <c r="AQ127" s="3"/>
      <c r="AR127" s="3"/>
      <c r="AS127" s="3"/>
    </row>
    <row r="128" spans="3:45" x14ac:dyDescent="0.3">
      <c r="C128" s="1"/>
      <c r="D128" s="1"/>
      <c r="E128" s="2" t="s">
        <v>160</v>
      </c>
      <c r="F128" s="19">
        <v>6</v>
      </c>
      <c r="G128" t="s">
        <v>66</v>
      </c>
      <c r="J128">
        <v>1</v>
      </c>
      <c r="K128" s="3" t="s">
        <v>257</v>
      </c>
      <c r="X128" s="3">
        <v>1</v>
      </c>
      <c r="Z128" s="3">
        <v>1</v>
      </c>
    </row>
    <row r="129" spans="3:45" x14ac:dyDescent="0.3">
      <c r="C129" s="1"/>
      <c r="D129" s="1"/>
      <c r="E129" s="2" t="s">
        <v>173</v>
      </c>
      <c r="F129" s="19">
        <v>6</v>
      </c>
      <c r="G129" t="s">
        <v>66</v>
      </c>
    </row>
    <row r="130" spans="3:45" x14ac:dyDescent="0.3">
      <c r="C130" s="1"/>
      <c r="E130" s="2" t="s">
        <v>132</v>
      </c>
      <c r="F130" s="21">
        <v>6</v>
      </c>
      <c r="G130" t="s">
        <v>66</v>
      </c>
      <c r="H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J130">
        <v>1</v>
      </c>
      <c r="AN130" s="3"/>
      <c r="AO130" s="3"/>
      <c r="AP130" s="3"/>
      <c r="AQ130" s="3"/>
      <c r="AR130" s="3"/>
      <c r="AS130" s="3"/>
    </row>
    <row r="131" spans="3:45" x14ac:dyDescent="0.3">
      <c r="C131" s="1"/>
      <c r="E131" s="2" t="s">
        <v>54</v>
      </c>
      <c r="F131" s="21">
        <v>4</v>
      </c>
      <c r="G131" t="s">
        <v>66</v>
      </c>
      <c r="H131" s="3">
        <v>3</v>
      </c>
      <c r="I131" s="15" t="s">
        <v>245</v>
      </c>
      <c r="J131">
        <v>12</v>
      </c>
      <c r="L131">
        <v>19</v>
      </c>
      <c r="M131" s="3" t="s">
        <v>267</v>
      </c>
      <c r="N131">
        <v>38</v>
      </c>
      <c r="O131" s="3" t="s">
        <v>171</v>
      </c>
      <c r="P131">
        <v>21</v>
      </c>
      <c r="R131">
        <v>21</v>
      </c>
      <c r="T131" s="3">
        <v>4</v>
      </c>
      <c r="V131">
        <v>5</v>
      </c>
      <c r="W131" s="3"/>
      <c r="X131" s="3">
        <v>5</v>
      </c>
      <c r="Y131" s="3"/>
      <c r="Z131" s="3"/>
      <c r="AA131" s="11"/>
      <c r="AB131" s="3">
        <v>11</v>
      </c>
      <c r="AC131" s="3"/>
      <c r="AD131" s="3"/>
      <c r="AE131" s="3"/>
      <c r="AF131">
        <v>3</v>
      </c>
      <c r="AH131">
        <v>15</v>
      </c>
      <c r="AI131" s="3" t="s">
        <v>326</v>
      </c>
      <c r="AJ131">
        <v>7</v>
      </c>
      <c r="AN131" s="3"/>
      <c r="AO131" s="3"/>
      <c r="AP131" s="3"/>
      <c r="AQ131" s="3"/>
      <c r="AR131" s="3"/>
      <c r="AS131" s="3"/>
    </row>
    <row r="132" spans="3:45" x14ac:dyDescent="0.3">
      <c r="C132" s="1"/>
      <c r="E132" s="2" t="s">
        <v>135</v>
      </c>
      <c r="F132" s="21">
        <v>6</v>
      </c>
      <c r="G132" t="s">
        <v>66</v>
      </c>
      <c r="N132">
        <v>2</v>
      </c>
      <c r="O132" t="s">
        <v>40</v>
      </c>
      <c r="R132">
        <v>3</v>
      </c>
      <c r="S132" t="s">
        <v>40</v>
      </c>
      <c r="T132">
        <v>2</v>
      </c>
      <c r="U132" s="3" t="s">
        <v>40</v>
      </c>
      <c r="V132">
        <v>3</v>
      </c>
      <c r="W132" s="3" t="s">
        <v>40</v>
      </c>
      <c r="X132" s="3"/>
      <c r="Y132" s="3"/>
      <c r="Z132" s="3">
        <v>11</v>
      </c>
      <c r="AA132" s="11" t="s">
        <v>133</v>
      </c>
      <c r="AB132" s="3">
        <v>5</v>
      </c>
      <c r="AC132" s="3" t="s">
        <v>40</v>
      </c>
      <c r="AD132" s="3">
        <v>27</v>
      </c>
      <c r="AN132" s="3"/>
      <c r="AO132" s="3"/>
      <c r="AP132" s="3"/>
      <c r="AR132" s="3"/>
      <c r="AS132" s="3"/>
    </row>
    <row r="133" spans="3:45" x14ac:dyDescent="0.3">
      <c r="C133" s="1"/>
      <c r="E133" s="2" t="s">
        <v>3</v>
      </c>
      <c r="F133" s="21">
        <v>7</v>
      </c>
      <c r="G133" t="s">
        <v>66</v>
      </c>
      <c r="H133" s="3"/>
      <c r="J133">
        <v>1</v>
      </c>
      <c r="T133" s="3">
        <v>4</v>
      </c>
      <c r="U133" s="3"/>
      <c r="V133">
        <v>3</v>
      </c>
      <c r="W133" s="3"/>
      <c r="X133" s="3"/>
      <c r="Y133" s="3"/>
      <c r="Z133" s="3">
        <v>1</v>
      </c>
      <c r="AA133" s="11" t="s">
        <v>302</v>
      </c>
      <c r="AB133" s="3"/>
      <c r="AC133" s="3"/>
      <c r="AH133">
        <v>1</v>
      </c>
      <c r="AI133" s="3" t="s">
        <v>302</v>
      </c>
      <c r="AJ133">
        <v>1</v>
      </c>
      <c r="AK133" s="3" t="s">
        <v>302</v>
      </c>
      <c r="AN133" s="3"/>
      <c r="AO133" s="3"/>
      <c r="AP133" s="3"/>
      <c r="AQ133" s="3"/>
      <c r="AR133" s="3"/>
      <c r="AS133" s="3"/>
    </row>
    <row r="134" spans="3:45" x14ac:dyDescent="0.3">
      <c r="C134" s="1"/>
      <c r="D134" t="s">
        <v>4</v>
      </c>
      <c r="E134" s="2" t="s">
        <v>5</v>
      </c>
      <c r="F134" s="21">
        <v>2</v>
      </c>
      <c r="G134" s="3" t="s">
        <v>63</v>
      </c>
      <c r="H134" s="3"/>
      <c r="I134" s="3"/>
      <c r="N134">
        <v>1</v>
      </c>
      <c r="T134" s="3"/>
      <c r="U134" s="3"/>
      <c r="W134" s="3"/>
      <c r="Y134" s="3"/>
      <c r="Z134" s="3"/>
      <c r="AA134" s="11"/>
      <c r="AC134" s="3"/>
      <c r="AE134" s="3"/>
      <c r="AN134" s="3"/>
      <c r="AO134" s="3"/>
      <c r="AP134" s="3"/>
      <c r="AQ134" s="3"/>
      <c r="AR134" s="3"/>
      <c r="AS134" s="3"/>
    </row>
    <row r="135" spans="3:45" x14ac:dyDescent="0.3">
      <c r="C135" s="1"/>
      <c r="E135" s="2" t="s">
        <v>234</v>
      </c>
      <c r="F135" s="19">
        <v>2</v>
      </c>
      <c r="G135" t="s">
        <v>63</v>
      </c>
      <c r="H135" s="3">
        <v>1</v>
      </c>
      <c r="I135" s="3"/>
      <c r="T135" s="3"/>
      <c r="U135" s="3"/>
      <c r="W135" s="3"/>
      <c r="Y135" s="3"/>
      <c r="Z135" s="3">
        <v>1</v>
      </c>
      <c r="AA135" s="11"/>
      <c r="AC135" s="3"/>
      <c r="AD135">
        <v>1</v>
      </c>
      <c r="AE135" s="3"/>
      <c r="AH135">
        <v>1</v>
      </c>
      <c r="AN135" s="3"/>
      <c r="AO135" s="3"/>
      <c r="AP135" s="3"/>
      <c r="AQ135" s="3"/>
      <c r="AR135" s="3"/>
      <c r="AS135" s="3"/>
    </row>
    <row r="136" spans="3:45" x14ac:dyDescent="0.3">
      <c r="C136" s="1"/>
      <c r="D136" t="s">
        <v>58</v>
      </c>
      <c r="E136" s="3" t="s">
        <v>58</v>
      </c>
      <c r="F136" s="18">
        <v>6</v>
      </c>
      <c r="G136" t="s">
        <v>66</v>
      </c>
      <c r="H136" s="3"/>
      <c r="I136" s="3"/>
      <c r="T136" s="3"/>
      <c r="U136" s="3"/>
      <c r="W136" s="3"/>
      <c r="Y136" s="3"/>
      <c r="Z136" s="3"/>
      <c r="AA136" s="11"/>
      <c r="AC136" s="3"/>
      <c r="AE136" s="3"/>
      <c r="AH136">
        <v>1</v>
      </c>
      <c r="AI136" s="3" t="s">
        <v>331</v>
      </c>
      <c r="AN136" s="3"/>
      <c r="AO136" s="3"/>
      <c r="AP136" s="3"/>
      <c r="AQ136" s="3"/>
      <c r="AR136" s="3"/>
      <c r="AS136" s="3"/>
    </row>
    <row r="137" spans="3:45" x14ac:dyDescent="0.3">
      <c r="C137" s="1"/>
      <c r="E137" s="2" t="s">
        <v>137</v>
      </c>
      <c r="F137" s="19">
        <v>6</v>
      </c>
      <c r="G137" t="s">
        <v>66</v>
      </c>
      <c r="H137" s="3"/>
      <c r="I137" s="3"/>
      <c r="N137">
        <v>1</v>
      </c>
      <c r="P137">
        <v>1</v>
      </c>
      <c r="T137">
        <v>2</v>
      </c>
      <c r="U137" s="3"/>
      <c r="V137">
        <v>2</v>
      </c>
      <c r="W137" s="3"/>
      <c r="X137" s="3"/>
      <c r="Y137" s="3"/>
      <c r="Z137" s="3"/>
      <c r="AA137" s="11"/>
      <c r="AB137" s="3"/>
      <c r="AC137" s="3"/>
      <c r="AD137" s="3"/>
      <c r="AE137" s="3"/>
      <c r="AH137">
        <v>1</v>
      </c>
      <c r="AI137" s="2" t="s">
        <v>327</v>
      </c>
      <c r="AJ137">
        <v>1</v>
      </c>
      <c r="AN137" s="3"/>
      <c r="AO137" s="3"/>
      <c r="AP137" s="3"/>
      <c r="AQ137" s="3"/>
      <c r="AR137" s="3"/>
      <c r="AS137" s="3"/>
    </row>
    <row r="138" spans="3:45" x14ac:dyDescent="0.3">
      <c r="E138" s="2" t="s">
        <v>105</v>
      </c>
      <c r="F138" s="21">
        <v>6</v>
      </c>
      <c r="G138" s="3" t="s">
        <v>66</v>
      </c>
      <c r="H138" s="3"/>
      <c r="I138" s="3"/>
      <c r="J138">
        <v>5</v>
      </c>
      <c r="K138" s="3" t="s">
        <v>259</v>
      </c>
      <c r="L138">
        <v>2</v>
      </c>
      <c r="N138">
        <v>1</v>
      </c>
      <c r="R138">
        <v>1</v>
      </c>
      <c r="T138" s="3">
        <v>1</v>
      </c>
      <c r="U138" s="3"/>
      <c r="V138">
        <v>3</v>
      </c>
      <c r="W138" s="3"/>
      <c r="X138" s="3"/>
      <c r="Y138" s="3"/>
      <c r="Z138" s="3">
        <v>1</v>
      </c>
      <c r="AA138" s="11"/>
      <c r="AB138" s="3"/>
      <c r="AC138" s="3"/>
      <c r="AD138" s="3"/>
      <c r="AE138" s="3"/>
      <c r="AF138">
        <v>4</v>
      </c>
      <c r="AH138">
        <v>6</v>
      </c>
      <c r="AJ138">
        <v>2</v>
      </c>
      <c r="AN138" s="3"/>
      <c r="AO138" s="3"/>
      <c r="AP138" s="3"/>
      <c r="AQ138" s="3"/>
      <c r="AR138" s="3"/>
      <c r="AS138" s="3"/>
    </row>
    <row r="139" spans="3:45" x14ac:dyDescent="0.3">
      <c r="D139" s="15" t="s">
        <v>246</v>
      </c>
      <c r="E139" s="15" t="s">
        <v>246</v>
      </c>
      <c r="F139" s="22">
        <v>6</v>
      </c>
      <c r="G139" s="15" t="s">
        <v>63</v>
      </c>
      <c r="H139" s="3">
        <v>1</v>
      </c>
      <c r="I139" s="3"/>
      <c r="R139">
        <v>1</v>
      </c>
      <c r="T139" s="3"/>
      <c r="U139" s="3"/>
      <c r="W139" s="3"/>
      <c r="X139" s="3"/>
      <c r="Y139" s="3"/>
      <c r="Z139" s="3"/>
      <c r="AA139" s="11"/>
      <c r="AB139" s="3"/>
      <c r="AC139" s="3"/>
      <c r="AD139" s="3"/>
      <c r="AE139" s="3"/>
      <c r="AN139" s="3"/>
      <c r="AO139" s="3"/>
      <c r="AP139" s="3"/>
      <c r="AQ139" s="3"/>
      <c r="AR139" s="3"/>
      <c r="AS139" s="3"/>
    </row>
    <row r="140" spans="3:45" x14ac:dyDescent="0.3">
      <c r="D140" t="s">
        <v>99</v>
      </c>
      <c r="E140" s="2" t="s">
        <v>196</v>
      </c>
      <c r="F140" s="21">
        <v>2</v>
      </c>
      <c r="G140" t="s">
        <v>69</v>
      </c>
      <c r="H140" s="3">
        <v>2</v>
      </c>
      <c r="I140" s="3"/>
      <c r="L140">
        <v>10</v>
      </c>
      <c r="N140">
        <v>2</v>
      </c>
      <c r="P140">
        <v>1</v>
      </c>
      <c r="U140" s="3"/>
      <c r="V140" s="3">
        <v>2</v>
      </c>
      <c r="W140" s="3"/>
      <c r="X140" s="3"/>
      <c r="Y140" s="3"/>
      <c r="Z140" s="3"/>
      <c r="AA140" s="11"/>
      <c r="AB140" s="3"/>
      <c r="AC140" s="3"/>
      <c r="AD140" s="3">
        <v>3</v>
      </c>
      <c r="AE140" s="3"/>
      <c r="AF140">
        <v>1</v>
      </c>
      <c r="AH140">
        <v>1</v>
      </c>
      <c r="AI140" s="3" t="s">
        <v>157</v>
      </c>
      <c r="AJ140">
        <v>2</v>
      </c>
      <c r="AN140" s="3"/>
      <c r="AO140" s="3"/>
      <c r="AP140" s="3"/>
      <c r="AQ140" s="3"/>
      <c r="AR140" s="3"/>
      <c r="AS140" s="3"/>
    </row>
    <row r="141" spans="3:45" x14ac:dyDescent="0.3">
      <c r="E141" s="2" t="s">
        <v>328</v>
      </c>
      <c r="F141" s="18">
        <v>10</v>
      </c>
      <c r="G141" t="s">
        <v>63</v>
      </c>
      <c r="H141" s="3"/>
      <c r="I141" s="3"/>
      <c r="U141" s="3"/>
      <c r="V141" s="3"/>
      <c r="W141" s="3"/>
      <c r="X141" s="3"/>
      <c r="Y141" s="3"/>
      <c r="Z141" s="3"/>
      <c r="AA141" s="11"/>
      <c r="AB141" s="3"/>
      <c r="AC141" s="3"/>
      <c r="AD141" s="3"/>
      <c r="AE141" s="3"/>
      <c r="AH141">
        <v>1</v>
      </c>
      <c r="AI141" s="3"/>
      <c r="AN141" s="3"/>
      <c r="AO141" s="3"/>
      <c r="AP141" s="3"/>
      <c r="AQ141" s="3"/>
      <c r="AR141" s="3"/>
      <c r="AS141" s="3"/>
    </row>
    <row r="142" spans="3:45" x14ac:dyDescent="0.3">
      <c r="D142" t="s">
        <v>59</v>
      </c>
      <c r="E142" s="2" t="s">
        <v>60</v>
      </c>
      <c r="F142" s="21">
        <v>6</v>
      </c>
      <c r="G142" s="3" t="s">
        <v>68</v>
      </c>
      <c r="H142" s="3"/>
      <c r="I142" s="3"/>
      <c r="T142" s="3"/>
      <c r="V142" s="3">
        <v>4</v>
      </c>
      <c r="W142" s="3"/>
      <c r="X142" s="3"/>
      <c r="Z142" s="3">
        <v>1</v>
      </c>
      <c r="AA142" s="11"/>
      <c r="AB142" s="3">
        <v>1</v>
      </c>
      <c r="AC142" s="3"/>
      <c r="AD142" s="3"/>
      <c r="AE142" s="3"/>
      <c r="AF142">
        <v>1</v>
      </c>
      <c r="AN142" s="3"/>
      <c r="AO142" s="3"/>
      <c r="AP142" s="3"/>
      <c r="AQ142" s="3"/>
      <c r="AR142" s="3"/>
      <c r="AS142" s="3"/>
    </row>
    <row r="143" spans="3:45" x14ac:dyDescent="0.3">
      <c r="D143" s="3" t="s">
        <v>61</v>
      </c>
      <c r="E143" s="2" t="s">
        <v>30</v>
      </c>
      <c r="F143" s="21">
        <v>3</v>
      </c>
      <c r="G143" s="3" t="s">
        <v>63</v>
      </c>
      <c r="H143" s="3">
        <v>1</v>
      </c>
      <c r="J143">
        <v>3</v>
      </c>
      <c r="L143">
        <v>4</v>
      </c>
      <c r="N143">
        <v>4</v>
      </c>
      <c r="P143">
        <v>3</v>
      </c>
      <c r="R143">
        <v>7</v>
      </c>
      <c r="T143" s="3"/>
      <c r="U143" s="3"/>
      <c r="V143" s="3"/>
      <c r="W143" s="3"/>
      <c r="X143" s="3"/>
      <c r="Y143" s="3"/>
      <c r="Z143" s="3">
        <v>1</v>
      </c>
      <c r="AA143" s="11"/>
      <c r="AB143" s="3"/>
      <c r="AC143" s="3"/>
      <c r="AD143" s="3">
        <v>2</v>
      </c>
      <c r="AE143" s="3"/>
      <c r="AH143">
        <v>1</v>
      </c>
      <c r="AN143" s="3"/>
      <c r="AO143" s="3"/>
      <c r="AP143" s="3"/>
      <c r="AQ143" s="3"/>
      <c r="AR143" s="3"/>
      <c r="AS143" s="3"/>
    </row>
    <row r="144" spans="3:45" x14ac:dyDescent="0.3">
      <c r="E144" s="2" t="s">
        <v>6</v>
      </c>
      <c r="F144" s="21">
        <v>3</v>
      </c>
      <c r="G144" s="3" t="s">
        <v>66</v>
      </c>
      <c r="H144" s="3"/>
      <c r="I144" s="3"/>
      <c r="T144" s="3"/>
      <c r="U144" s="3"/>
      <c r="V144" s="3"/>
      <c r="W144" s="3"/>
      <c r="X144" s="3"/>
      <c r="Y144" s="3"/>
      <c r="Z144" s="3">
        <v>1</v>
      </c>
      <c r="AC144" s="3"/>
      <c r="AD144" s="3">
        <v>1</v>
      </c>
      <c r="AE144" s="3"/>
      <c r="AH144">
        <v>1</v>
      </c>
      <c r="AN144" s="3"/>
      <c r="AO144" s="3"/>
      <c r="AP144" s="3"/>
      <c r="AR144" s="3"/>
      <c r="AS144" s="3"/>
    </row>
    <row r="145" spans="3:67" x14ac:dyDescent="0.3">
      <c r="E145" s="2" t="s">
        <v>7</v>
      </c>
      <c r="F145" s="21">
        <v>2</v>
      </c>
      <c r="G145" s="3" t="s">
        <v>66</v>
      </c>
      <c r="H145" s="3"/>
      <c r="I145" s="3"/>
      <c r="T145" s="3"/>
      <c r="U145" s="3"/>
      <c r="V145" s="3"/>
      <c r="W145" s="3"/>
      <c r="X145" s="3"/>
      <c r="Y145" s="3"/>
      <c r="Z145" s="3"/>
      <c r="AC145" s="3"/>
      <c r="AD145" s="3"/>
      <c r="AE145" s="3"/>
      <c r="AN145" s="3"/>
      <c r="AO145" s="3"/>
      <c r="AP145" s="3"/>
      <c r="AR145" s="3"/>
      <c r="AS145" s="3"/>
    </row>
    <row r="146" spans="3:67" x14ac:dyDescent="0.3">
      <c r="E146" s="2" t="s">
        <v>235</v>
      </c>
      <c r="F146" s="19">
        <v>6</v>
      </c>
      <c r="G146" t="s">
        <v>48</v>
      </c>
      <c r="H146" s="3"/>
      <c r="U146" s="3"/>
      <c r="V146" s="3">
        <v>1</v>
      </c>
      <c r="W146" s="3" t="s">
        <v>133</v>
      </c>
      <c r="Y146" s="10"/>
      <c r="Z146" s="3"/>
      <c r="AB146" s="3"/>
      <c r="AE146" s="3"/>
      <c r="AN146" s="3"/>
      <c r="AP146" s="3"/>
      <c r="AQ146" s="3"/>
      <c r="AR146" s="3"/>
      <c r="AS146" s="3"/>
    </row>
    <row r="148" spans="3:67" x14ac:dyDescent="0.3">
      <c r="E148" s="1" t="s">
        <v>110</v>
      </c>
      <c r="H148">
        <f>SUM(H$4:H147)</f>
        <v>173</v>
      </c>
      <c r="J148">
        <f>SUM(J$4:J147)</f>
        <v>401</v>
      </c>
      <c r="L148">
        <f>SUM(L$4:L$147)</f>
        <v>440</v>
      </c>
      <c r="N148">
        <f>SUM(N$4:N$147)</f>
        <v>542</v>
      </c>
      <c r="P148">
        <f>SUM(P$4:P$147)</f>
        <v>297</v>
      </c>
      <c r="R148">
        <f>SUM(R$4:R$147)</f>
        <v>543</v>
      </c>
      <c r="T148">
        <f>SUM(T$4:T$147)</f>
        <v>524</v>
      </c>
      <c r="V148">
        <f>SUM(V$4:V$147)</f>
        <v>518</v>
      </c>
      <c r="X148">
        <f>SUM(X$4:X$147)</f>
        <v>281</v>
      </c>
      <c r="Z148">
        <f>SUM(Z$4:Z$147)</f>
        <v>512</v>
      </c>
      <c r="AA148"/>
      <c r="AB148">
        <f>SUM(AB$4:AB$147)</f>
        <v>522</v>
      </c>
      <c r="AD148">
        <f>SUM(AD$4:AD$147)</f>
        <v>502</v>
      </c>
      <c r="AF148">
        <f>SUM(AF$4:AF$147)</f>
        <v>529</v>
      </c>
      <c r="AH148">
        <f>SUM(AH$4:AH$147)</f>
        <v>514</v>
      </c>
      <c r="AJ148">
        <f>SUM(AJ$4:AJ$147)</f>
        <v>250</v>
      </c>
    </row>
    <row r="149" spans="3:67" x14ac:dyDescent="0.3">
      <c r="C149" s="1" t="s">
        <v>50</v>
      </c>
      <c r="E149" s="1" t="s">
        <v>51</v>
      </c>
      <c r="H149">
        <f>COUNT(H$4:H147)</f>
        <v>31</v>
      </c>
      <c r="J149">
        <f>COUNT(J$4:J147)</f>
        <v>50</v>
      </c>
      <c r="L149">
        <f>COUNT(L$4:L$147)</f>
        <v>56</v>
      </c>
      <c r="N149">
        <f>COUNT(N$4:N$147)-1</f>
        <v>54</v>
      </c>
      <c r="P149">
        <f>COUNT(P$4:P$147)-1</f>
        <v>43</v>
      </c>
      <c r="R149">
        <f>COUNT(R$4:R$147)-1</f>
        <v>51</v>
      </c>
      <c r="T149">
        <f>COUNT(T$4:T$147)-1</f>
        <v>46</v>
      </c>
      <c r="V149">
        <f>COUNT(V$4:V$147)-1</f>
        <v>57</v>
      </c>
      <c r="X149">
        <f>COUNT(X$4:X$147)-2</f>
        <v>38</v>
      </c>
      <c r="Z149">
        <f>COUNT(Z$4:Z$147)-1</f>
        <v>58</v>
      </c>
      <c r="AA149"/>
      <c r="AB149">
        <f>COUNT(AB$4:AB$147)-1</f>
        <v>46</v>
      </c>
      <c r="AD149">
        <f>COUNT(AD$4:AD$147)-1</f>
        <v>49</v>
      </c>
      <c r="AF149">
        <f>COUNT(AF$4:AF$147)-1</f>
        <v>59</v>
      </c>
      <c r="AH149">
        <f>COUNT(AH$4:AH$147)-2</f>
        <v>59</v>
      </c>
      <c r="AJ149">
        <f>COUNT(AJ$4:AJ$147)-1</f>
        <v>50</v>
      </c>
    </row>
    <row r="150" spans="3:67" x14ac:dyDescent="0.3">
      <c r="E150" s="1" t="s">
        <v>52</v>
      </c>
      <c r="H150">
        <f>COUNT(H30:H76)</f>
        <v>16</v>
      </c>
      <c r="J150">
        <f>COUNT(J30:J76)</f>
        <v>21</v>
      </c>
      <c r="L150">
        <f>COUNT(L$30:L$76)</f>
        <v>25</v>
      </c>
      <c r="N150">
        <f>COUNT(N$30:N$76)</f>
        <v>20</v>
      </c>
      <c r="P150">
        <f>COUNT(P$30:P$76)</f>
        <v>17</v>
      </c>
      <c r="R150">
        <f>COUNT(R$30:R$76)</f>
        <v>21</v>
      </c>
      <c r="T150">
        <f>COUNT(T$30:T$76)</f>
        <v>15</v>
      </c>
      <c r="V150">
        <f>COUNT(V$30:V$76)</f>
        <v>18</v>
      </c>
      <c r="X150">
        <f>COUNT(X$30:X$76)</f>
        <v>7</v>
      </c>
      <c r="Z150">
        <f>COUNT(Z$30:Z$76)</f>
        <v>21</v>
      </c>
      <c r="AA150"/>
      <c r="AB150">
        <f>COUNT(AB$30:AB$76)</f>
        <v>16</v>
      </c>
      <c r="AD150">
        <f>COUNT(AD$30:AD$76)</f>
        <v>17</v>
      </c>
      <c r="AF150">
        <f>COUNT(AF$30:AF$76)</f>
        <v>25</v>
      </c>
      <c r="AH150">
        <f>COUNT(AH$30:AH$76)</f>
        <v>23</v>
      </c>
      <c r="AJ150">
        <f>COUNT(AJ$30:AJ$76)</f>
        <v>19</v>
      </c>
    </row>
    <row r="151" spans="3:67" x14ac:dyDescent="0.3">
      <c r="E151" s="1" t="s">
        <v>53</v>
      </c>
      <c r="H151" s="5">
        <f>SUMIF($F30:$F76,"&lt;4",H30:H76)/H148*100</f>
        <v>43.352601156069362</v>
      </c>
      <c r="J151" s="5">
        <f>SUMIF($F30:$F76,"&lt;4",J30:J76)/J148*100</f>
        <v>25.935162094763093</v>
      </c>
      <c r="L151" s="5">
        <f>SUMIF($F$30:$F$76,"&lt;4",L$30:L$76)/L148*100</f>
        <v>25.454545454545453</v>
      </c>
      <c r="N151" s="5">
        <f>SUMIF($F$30:$F$76,"&lt;4",N$30:N$76)/N148*100</f>
        <v>14.575645756457565</v>
      </c>
      <c r="P151" s="5">
        <f>SUMIF($F$30:$F$76,"&lt;4",P$30:P$76)/P148*100</f>
        <v>27.946127946127948</v>
      </c>
      <c r="R151" s="5">
        <f>SUMIF($F$30:$F$76,"&lt;4",R$30:R$76)/R148*100</f>
        <v>25.966850828729282</v>
      </c>
      <c r="T151" s="5">
        <f>SUMIF($F$30:$F$76,"&lt;4",T$30:T$76)/T148*100</f>
        <v>12.213740458015266</v>
      </c>
      <c r="V151" s="5">
        <f>SUMIF($F$30:$F$76,"&lt;4",V$30:V$76)/V148*100</f>
        <v>12.162162162162163</v>
      </c>
      <c r="X151" s="5">
        <f>SUMIF($F$30:$F$76,"&lt;4",X$30:X$76)/X148*100</f>
        <v>25.266903914590749</v>
      </c>
      <c r="Z151" s="5">
        <f>SUMIF($F$30:$F$76,"&lt;4",Z$30:Z$76)/Z148*100</f>
        <v>16.9921875</v>
      </c>
      <c r="AA151"/>
      <c r="AB151" s="5">
        <f>SUMIF($F$30:$F$76,"&lt;4",AB$30:AB$76)/AB148*100</f>
        <v>16.091954022988507</v>
      </c>
      <c r="AD151" s="5">
        <f>SUMIF($F$30:$F$76,"&lt;4",AD$30:AD$76)/AD148*100</f>
        <v>18.127490039840637</v>
      </c>
      <c r="AF151" s="5">
        <f>SUMIF($F$30:$F$76,"&lt;4",AF$30:AF$76)/AF148*100</f>
        <v>21.361058601134218</v>
      </c>
      <c r="AH151" s="5">
        <f>SUMIF($F$30:$F$76,"&lt;4",AH$30:AH$76)/AH148*100</f>
        <v>22.178988326848248</v>
      </c>
      <c r="AJ151" s="5">
        <f>SUMIF($F$30:$F$76,"&lt;4",AJ$30:AJ$76)/AJ148*100</f>
        <v>35.6</v>
      </c>
      <c r="AL151" s="5"/>
      <c r="AN151" s="5"/>
      <c r="AP151" s="5"/>
      <c r="AQ151" s="5"/>
      <c r="AR151" s="5"/>
      <c r="AT151" s="5"/>
      <c r="AV151" s="5"/>
      <c r="AX151" s="5"/>
      <c r="AZ151" s="5"/>
      <c r="BB151" s="5"/>
      <c r="BM151" s="5"/>
      <c r="BO151" s="5"/>
    </row>
    <row r="152" spans="3:67" x14ac:dyDescent="0.3">
      <c r="E152" s="1" t="s">
        <v>109</v>
      </c>
      <c r="H152" s="5">
        <f>MAX(H$4:H147)/H148*100</f>
        <v>18.497109826589593</v>
      </c>
      <c r="J152" s="5">
        <f>MAX(J$4:J147)/J148*100</f>
        <v>8.9775561097256862</v>
      </c>
      <c r="L152" s="5">
        <f>MAX(L$4:L$147)/L148*100</f>
        <v>9.0909090909090917</v>
      </c>
      <c r="N152" s="5">
        <f>MAX(N$4:N$147)/N148*100</f>
        <v>13.284132841328415</v>
      </c>
      <c r="P152" s="5">
        <f>MAX(P$4:P$147)/P148*100</f>
        <v>12.121212121212121</v>
      </c>
      <c r="R152" s="5">
        <f>MAX(R$4:R$147)/R148*100</f>
        <v>13.443830570902392</v>
      </c>
      <c r="T152" s="5">
        <f>MAX(T$4:T$147)/T148*100</f>
        <v>10.114503816793894</v>
      </c>
      <c r="V152" s="5">
        <f>MAX(V$4:V$147)/V148*100</f>
        <v>16.409266409266408</v>
      </c>
      <c r="X152" s="5">
        <f>MAX(X$4:X$147)/X148*100</f>
        <v>15.658362989323843</v>
      </c>
      <c r="Z152" s="5">
        <f>MAX(Z$4:Z$147)/Z148*100</f>
        <v>14.84375</v>
      </c>
      <c r="AA152"/>
      <c r="AB152" s="5">
        <f>MAX(AB$4:AB$147)/AB148*100</f>
        <v>13.409961685823754</v>
      </c>
      <c r="AD152" s="5">
        <f>MAX(AD$4:AD$147)/AD148*100</f>
        <v>11.752988047808765</v>
      </c>
      <c r="AF152" s="5">
        <f>MAX(AF$4:AF$147)/AF148*100</f>
        <v>10.586011342155009</v>
      </c>
      <c r="AH152" s="5">
        <f>MAX(AH$4:AH$147)/AH148*100</f>
        <v>11.089494163424124</v>
      </c>
      <c r="AJ152" s="5">
        <f>MAX(AJ$4:AJ$147)/AJ148*100</f>
        <v>9.6</v>
      </c>
      <c r="AL152" s="5"/>
      <c r="AN152" s="5"/>
      <c r="AP152" s="5"/>
      <c r="AQ152" s="5"/>
      <c r="AR152" s="5"/>
      <c r="AT152" s="5"/>
      <c r="AV152" s="5"/>
      <c r="AX152" s="5"/>
      <c r="AZ152" s="5"/>
      <c r="BB152" s="5"/>
      <c r="BM152" s="5"/>
      <c r="BO152" s="5"/>
    </row>
    <row r="153" spans="3:67" x14ac:dyDescent="0.3">
      <c r="E153" s="1" t="s">
        <v>115</v>
      </c>
      <c r="H153" s="8" cm="1">
        <f t="array" ref="H153">SUMPRODUCT($F$4:$F146/H148,H$4:H146)</f>
        <v>3.6069364161849711</v>
      </c>
      <c r="I153" s="8"/>
      <c r="J153" s="8" cm="1">
        <f t="array" ref="J153">SUMPRODUCT($F$4:$F146/J148,J$4:J146)</f>
        <v>4.1496259351620939</v>
      </c>
      <c r="K153" s="8"/>
      <c r="L153" s="8">
        <f>SUMPRODUCT($F$4:$F$146/L148,L$4:L$146)</f>
        <v>4.1522727272727264</v>
      </c>
      <c r="M153" s="8"/>
      <c r="N153" s="8">
        <f>SUMPRODUCT($F$4:$F$146/N148,N$4:N$146)</f>
        <v>4.5276752767527677</v>
      </c>
      <c r="O153" s="8"/>
      <c r="P153" s="8">
        <f>SUMPRODUCT($F$4:$F$146/P148,P$4:P$146)</f>
        <v>4.097643097643096</v>
      </c>
      <c r="Q153" s="8"/>
      <c r="R153" s="8">
        <f>SUMPRODUCT($F$4:$F$146/R148,R$4:R$146)</f>
        <v>4.1896869244935528</v>
      </c>
      <c r="S153" s="8"/>
      <c r="T153" s="8">
        <f>SUMPRODUCT($F$4:$F$146/T148,T$4:T$146)</f>
        <v>5.1889312977099227</v>
      </c>
      <c r="U153" s="8"/>
      <c r="V153" s="8">
        <f>SUMPRODUCT($F$4:$F$146/V148,V$4:V$146)</f>
        <v>5.1621621621621641</v>
      </c>
      <c r="W153" s="8"/>
      <c r="X153" s="8">
        <f>SUMPRODUCT($F$4:$F$146/X148,X$4:X$146)</f>
        <v>4.494661921708186</v>
      </c>
      <c r="Y153" s="8"/>
      <c r="Z153" s="8">
        <f>SUMPRODUCT($F$4:$F$146/Z148,Z$4:Z$146)</f>
        <v>4.919921875</v>
      </c>
      <c r="AA153" s="8"/>
      <c r="AB153" s="8">
        <f>SUMPRODUCT($F$4:$F$146/AB148,AB$4:AB$146)</f>
        <v>4.9348659003831399</v>
      </c>
      <c r="AC153" s="8"/>
      <c r="AD153" s="8">
        <f>SUMPRODUCT($F$4:$F$146/AD148,AD$4:AD$146)</f>
        <v>4.8346613545816721</v>
      </c>
      <c r="AE153" s="8"/>
      <c r="AF153" s="8">
        <f>SUMPRODUCT($F$4:$F$146/AF148,AF$4:AF$146)</f>
        <v>4.6200378071833654</v>
      </c>
      <c r="AG153" s="8"/>
      <c r="AH153" s="8">
        <f>SUMPRODUCT($F$4:$F$146/AH148,AH$4:AH$146)</f>
        <v>4.5856031128404648</v>
      </c>
      <c r="AI153" s="8"/>
      <c r="AJ153" s="8">
        <f>SUMPRODUCT($F$4:$F$146/AJ148,AJ$4:AJ$146)</f>
        <v>3.9240000000000017</v>
      </c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Z153" s="8"/>
      <c r="BA153" s="8"/>
      <c r="BB153" s="8"/>
      <c r="BC153" s="8"/>
      <c r="BM153" s="5"/>
      <c r="BO153" s="5"/>
    </row>
    <row r="154" spans="3:67" x14ac:dyDescent="0.3">
      <c r="E154" s="1" t="s">
        <v>23</v>
      </c>
      <c r="H154" s="9">
        <v>2.8942097693646707</v>
      </c>
      <c r="I154" s="8"/>
      <c r="J154" s="9">
        <v>3.3358789058720246</v>
      </c>
      <c r="K154" s="8"/>
      <c r="L154" s="9">
        <v>3.4420871907294179</v>
      </c>
      <c r="M154" s="8"/>
      <c r="N154" s="9">
        <v>3.2362983416879287</v>
      </c>
      <c r="O154" s="8"/>
      <c r="P154" s="9">
        <v>3.3208385494157029</v>
      </c>
      <c r="Q154" s="8"/>
      <c r="R154" s="9">
        <v>3.2587841586066206</v>
      </c>
      <c r="S154" s="8"/>
      <c r="T154" s="9">
        <v>3.156693373869853</v>
      </c>
      <c r="U154" s="8"/>
      <c r="V154" s="9">
        <v>3.090307413299155</v>
      </c>
      <c r="W154" s="8"/>
      <c r="X154" s="9">
        <v>3.1262383718161999</v>
      </c>
      <c r="Y154" s="8"/>
      <c r="Z154" s="9">
        <v>3.2478562279490721</v>
      </c>
      <c r="AA154" s="8"/>
      <c r="AB154" s="9">
        <v>3.0888991875689342</v>
      </c>
      <c r="AC154" s="8"/>
      <c r="AD154" s="9">
        <v>3.1955693902471389</v>
      </c>
      <c r="AE154" s="8"/>
      <c r="AF154" s="9">
        <v>3.5248529457508</v>
      </c>
      <c r="AG154" s="8"/>
      <c r="AH154" s="9">
        <v>3.4223055185841238</v>
      </c>
      <c r="AI154" s="8"/>
      <c r="AJ154" s="9">
        <v>3.4578576865988029</v>
      </c>
      <c r="AK154" s="8"/>
      <c r="AL154" s="9"/>
      <c r="AM154" s="8"/>
      <c r="AN154" s="9"/>
      <c r="AO154" s="8"/>
      <c r="AP154" s="9"/>
      <c r="AQ154" s="9"/>
      <c r="AR154" s="9"/>
      <c r="AS154" s="8"/>
      <c r="AT154" s="9"/>
      <c r="AU154" s="8"/>
      <c r="AV154" s="9"/>
      <c r="AW154" s="8"/>
      <c r="AX154" s="9"/>
      <c r="AZ154" s="9"/>
      <c r="BA154" s="8"/>
      <c r="BB154" s="9"/>
      <c r="BC154" s="8"/>
      <c r="BM154" s="6"/>
      <c r="BO154" s="6"/>
    </row>
    <row r="155" spans="3:67" x14ac:dyDescent="0.3">
      <c r="E155" s="1" t="s">
        <v>14</v>
      </c>
      <c r="H155" s="9">
        <v>100</v>
      </c>
      <c r="I155" s="8"/>
      <c r="J155" s="9">
        <v>100</v>
      </c>
      <c r="K155" s="8"/>
      <c r="L155" s="9">
        <v>100</v>
      </c>
      <c r="M155" s="8"/>
      <c r="N155" s="9">
        <v>80</v>
      </c>
      <c r="O155" s="8"/>
      <c r="P155" s="9">
        <v>100</v>
      </c>
      <c r="Q155" s="8"/>
      <c r="R155" s="9">
        <v>100</v>
      </c>
      <c r="S155" s="8"/>
      <c r="T155" s="9">
        <v>50</v>
      </c>
      <c r="U155" s="8"/>
      <c r="V155" s="9">
        <v>100</v>
      </c>
      <c r="W155" s="8"/>
      <c r="X155" s="9">
        <v>100</v>
      </c>
      <c r="Y155" s="8"/>
      <c r="Z155" s="9">
        <v>42.5</v>
      </c>
      <c r="AA155" s="8"/>
      <c r="AB155" s="9">
        <v>67.5</v>
      </c>
      <c r="AC155" s="8"/>
      <c r="AD155" s="9">
        <v>70</v>
      </c>
      <c r="AE155" s="8"/>
      <c r="AF155" s="9">
        <v>85</v>
      </c>
      <c r="AG155" s="8"/>
      <c r="AH155" s="9">
        <v>95</v>
      </c>
      <c r="AI155" s="8"/>
      <c r="AJ155" s="9">
        <v>100</v>
      </c>
      <c r="AK155" s="8"/>
      <c r="AL155" s="9"/>
      <c r="AM155" s="8"/>
      <c r="AN155" s="9"/>
      <c r="AO155" s="8"/>
      <c r="AP155" s="9"/>
      <c r="AQ155" s="9"/>
      <c r="AR155" s="9"/>
      <c r="AS155" s="8"/>
      <c r="AT155" s="9"/>
      <c r="AU155" s="8"/>
      <c r="AV155" s="9"/>
      <c r="AW155" s="8"/>
      <c r="AX155" s="9"/>
      <c r="AY155" s="8"/>
      <c r="AZ155" s="9"/>
      <c r="BA155" s="8"/>
      <c r="BB155" s="9"/>
      <c r="BM155" s="6"/>
      <c r="BO155" s="6"/>
    </row>
    <row r="156" spans="3:67" x14ac:dyDescent="0.3">
      <c r="E156" s="1" t="s">
        <v>161</v>
      </c>
      <c r="H156" s="13">
        <f>H148/H155*100</f>
        <v>173</v>
      </c>
      <c r="I156" s="8"/>
      <c r="J156" s="13">
        <f>J148/J155*100</f>
        <v>401</v>
      </c>
      <c r="K156" s="8"/>
      <c r="L156" s="13">
        <f>L148/L155*100</f>
        <v>440.00000000000006</v>
      </c>
      <c r="M156" s="8"/>
      <c r="N156" s="13">
        <f>N148/N155*100</f>
        <v>677.5</v>
      </c>
      <c r="O156" s="8"/>
      <c r="P156" s="13">
        <f>P148/P155*100</f>
        <v>297</v>
      </c>
      <c r="Q156" s="8"/>
      <c r="R156" s="13">
        <f>R148/R155*100</f>
        <v>543</v>
      </c>
      <c r="S156" s="8"/>
      <c r="T156" s="13">
        <f>T148/T155*100</f>
        <v>1048</v>
      </c>
      <c r="U156" s="8"/>
      <c r="V156" s="13">
        <f>V148/V155*100</f>
        <v>518</v>
      </c>
      <c r="W156" s="8"/>
      <c r="X156" s="13">
        <f>X148/X155*100</f>
        <v>281</v>
      </c>
      <c r="Y156" s="8"/>
      <c r="Z156" s="13">
        <f>Z148/Z155*100</f>
        <v>1204.7058823529412</v>
      </c>
      <c r="AA156" s="8"/>
      <c r="AB156" s="13">
        <f>AB148/AB155*100</f>
        <v>773.33333333333337</v>
      </c>
      <c r="AC156" s="8"/>
      <c r="AD156" s="13">
        <f>AD148/AD155*100</f>
        <v>717.14285714285722</v>
      </c>
      <c r="AE156" s="8"/>
      <c r="AF156" s="13">
        <f>AF148/AF155*100</f>
        <v>622.35294117647061</v>
      </c>
      <c r="AG156" s="8"/>
      <c r="AH156" s="13">
        <f>AH148/AH155*100</f>
        <v>541.0526315789474</v>
      </c>
      <c r="AI156" s="8"/>
      <c r="AJ156" s="13">
        <f>AJ148/AJ155*100</f>
        <v>250</v>
      </c>
      <c r="AK156" s="8"/>
      <c r="AL156" s="9"/>
      <c r="AM156" s="8"/>
      <c r="AN156" s="9"/>
      <c r="AO156" s="8"/>
      <c r="AP156" s="9"/>
      <c r="AQ156" s="9"/>
      <c r="AR156" s="9"/>
      <c r="AS156" s="8"/>
      <c r="AT156" s="9"/>
      <c r="AU156" s="8"/>
      <c r="AV156" s="9"/>
      <c r="AW156" s="8"/>
      <c r="AX156" s="9"/>
      <c r="AY156" s="8"/>
      <c r="AZ156" s="9"/>
      <c r="BA156" s="8"/>
      <c r="BB156" s="9"/>
      <c r="BM156" s="6"/>
      <c r="BO156" s="6"/>
    </row>
    <row r="157" spans="3:67" x14ac:dyDescent="0.3">
      <c r="I157" t="s">
        <v>111</v>
      </c>
      <c r="K157" t="s">
        <v>111</v>
      </c>
      <c r="M157" t="s">
        <v>111</v>
      </c>
      <c r="O157" t="s">
        <v>111</v>
      </c>
      <c r="Q157" t="s">
        <v>111</v>
      </c>
      <c r="S157" t="s">
        <v>111</v>
      </c>
      <c r="AA157"/>
    </row>
    <row r="158" spans="3:67" x14ac:dyDescent="0.3">
      <c r="C158" s="1" t="s">
        <v>162</v>
      </c>
      <c r="E158" s="1" t="s">
        <v>163</v>
      </c>
      <c r="H158" s="7">
        <v>16</v>
      </c>
      <c r="I158">
        <v>6</v>
      </c>
      <c r="J158" s="7">
        <v>21</v>
      </c>
      <c r="K158">
        <v>8</v>
      </c>
      <c r="L158" s="7">
        <v>25</v>
      </c>
      <c r="M158">
        <v>9</v>
      </c>
      <c r="N158" s="7">
        <v>20</v>
      </c>
      <c r="O158">
        <v>7</v>
      </c>
      <c r="P158" s="7">
        <v>17</v>
      </c>
      <c r="Q158">
        <v>6</v>
      </c>
      <c r="R158" s="7">
        <v>19</v>
      </c>
      <c r="S158">
        <v>7</v>
      </c>
      <c r="T158" s="7">
        <v>15</v>
      </c>
      <c r="U158">
        <v>5</v>
      </c>
      <c r="V158" s="7">
        <v>18</v>
      </c>
      <c r="W158">
        <v>7</v>
      </c>
      <c r="X158" s="7">
        <v>7</v>
      </c>
      <c r="Y158">
        <v>2</v>
      </c>
      <c r="Z158" s="7">
        <v>21</v>
      </c>
      <c r="AA158">
        <v>8</v>
      </c>
      <c r="AB158" s="7">
        <v>16</v>
      </c>
      <c r="AC158">
        <v>6</v>
      </c>
      <c r="AD158" s="7">
        <v>17</v>
      </c>
      <c r="AE158">
        <v>6</v>
      </c>
      <c r="AF158" s="7">
        <v>24</v>
      </c>
      <c r="AG158">
        <v>9</v>
      </c>
      <c r="AH158" s="7">
        <v>22</v>
      </c>
      <c r="AI158">
        <v>9</v>
      </c>
      <c r="AJ158" s="7">
        <v>19</v>
      </c>
      <c r="AK158">
        <v>7</v>
      </c>
    </row>
    <row r="159" spans="3:67" x14ac:dyDescent="0.3">
      <c r="E159" s="1" t="s">
        <v>164</v>
      </c>
      <c r="H159" s="7">
        <v>3</v>
      </c>
      <c r="I159">
        <v>5</v>
      </c>
      <c r="J159" s="7">
        <v>5</v>
      </c>
      <c r="K159">
        <v>9</v>
      </c>
      <c r="L159" s="7">
        <v>4</v>
      </c>
      <c r="M159">
        <v>7</v>
      </c>
      <c r="N159" s="7">
        <v>4</v>
      </c>
      <c r="O159">
        <v>7</v>
      </c>
      <c r="P159" s="7">
        <v>2</v>
      </c>
      <c r="Q159">
        <v>3</v>
      </c>
      <c r="R159" s="7">
        <v>3</v>
      </c>
      <c r="S159">
        <v>5</v>
      </c>
      <c r="T159" s="7">
        <v>4</v>
      </c>
      <c r="U159">
        <v>7</v>
      </c>
      <c r="V159" s="7">
        <v>4</v>
      </c>
      <c r="W159">
        <v>7</v>
      </c>
      <c r="X159" s="7">
        <v>4</v>
      </c>
      <c r="Y159">
        <v>7</v>
      </c>
      <c r="Z159" s="7">
        <v>4</v>
      </c>
      <c r="AA159">
        <v>7</v>
      </c>
      <c r="AB159" s="7">
        <v>3</v>
      </c>
      <c r="AC159">
        <v>5</v>
      </c>
      <c r="AD159" s="7">
        <v>2</v>
      </c>
      <c r="AE159">
        <v>3</v>
      </c>
      <c r="AF159" s="7">
        <v>4</v>
      </c>
      <c r="AG159">
        <v>7</v>
      </c>
      <c r="AH159" s="7">
        <v>5</v>
      </c>
      <c r="AI159">
        <v>9</v>
      </c>
      <c r="AJ159" s="7">
        <v>3</v>
      </c>
      <c r="AK159">
        <v>5</v>
      </c>
      <c r="AL159" s="7"/>
      <c r="AN159" s="7"/>
      <c r="AP159" s="7"/>
      <c r="AQ159" s="7"/>
      <c r="AR159" s="7"/>
      <c r="AT159" s="7"/>
      <c r="AV159" s="7"/>
      <c r="AX159" s="7"/>
      <c r="AZ159" s="7"/>
      <c r="BB159" s="7"/>
      <c r="BM159" s="7"/>
      <c r="BO159" s="7"/>
    </row>
    <row r="160" spans="3:67" x14ac:dyDescent="0.3">
      <c r="E160" s="1" t="s">
        <v>165</v>
      </c>
      <c r="H160" s="7">
        <v>5</v>
      </c>
      <c r="I160">
        <v>5</v>
      </c>
      <c r="J160" s="7">
        <v>4</v>
      </c>
      <c r="K160" s="7">
        <v>4</v>
      </c>
      <c r="L160" s="7">
        <v>4</v>
      </c>
      <c r="M160" s="7">
        <v>4</v>
      </c>
      <c r="N160" s="7">
        <v>7</v>
      </c>
      <c r="O160">
        <v>7</v>
      </c>
      <c r="P160" s="7">
        <v>5</v>
      </c>
      <c r="Q160">
        <v>5</v>
      </c>
      <c r="R160" s="7">
        <v>5</v>
      </c>
      <c r="S160">
        <v>5</v>
      </c>
      <c r="T160" s="7">
        <v>4</v>
      </c>
      <c r="U160">
        <v>4</v>
      </c>
      <c r="V160" s="7">
        <v>8</v>
      </c>
      <c r="W160">
        <v>8</v>
      </c>
      <c r="X160" s="7">
        <v>3</v>
      </c>
      <c r="Y160">
        <v>3</v>
      </c>
      <c r="Z160" s="7">
        <v>8</v>
      </c>
      <c r="AA160">
        <v>8</v>
      </c>
      <c r="AB160" s="7">
        <v>3</v>
      </c>
      <c r="AC160">
        <v>3</v>
      </c>
      <c r="AD160" s="7">
        <v>6</v>
      </c>
      <c r="AE160">
        <v>6</v>
      </c>
      <c r="AF160" s="7">
        <v>6</v>
      </c>
      <c r="AG160">
        <v>6</v>
      </c>
      <c r="AH160" s="7">
        <v>11</v>
      </c>
      <c r="AI160">
        <v>10</v>
      </c>
      <c r="AJ160" s="7">
        <v>6</v>
      </c>
      <c r="AK160">
        <v>6</v>
      </c>
      <c r="AL160" s="7"/>
      <c r="AN160" s="7"/>
      <c r="AP160" s="7"/>
      <c r="AQ160" s="7"/>
      <c r="AR160" s="7"/>
      <c r="AT160" s="7"/>
      <c r="AV160" s="7"/>
      <c r="AX160" s="7"/>
      <c r="AZ160" s="7"/>
      <c r="BB160" s="7"/>
      <c r="BM160" s="7"/>
      <c r="BO160" s="7"/>
    </row>
    <row r="161" spans="1:67" x14ac:dyDescent="0.3">
      <c r="E161" s="1" t="s">
        <v>166</v>
      </c>
      <c r="H161" s="7">
        <v>43.352601156069362</v>
      </c>
      <c r="I161">
        <v>10</v>
      </c>
      <c r="J161" s="7">
        <v>20.947630922693268</v>
      </c>
      <c r="K161">
        <v>6</v>
      </c>
      <c r="L161" s="7">
        <v>21.363636363636363</v>
      </c>
      <c r="M161">
        <v>6</v>
      </c>
      <c r="N161" s="7">
        <v>11.992619926199263</v>
      </c>
      <c r="O161">
        <v>4</v>
      </c>
      <c r="P161" s="7">
        <v>21.885521885521886</v>
      </c>
      <c r="Q161">
        <v>6</v>
      </c>
      <c r="R161" s="7">
        <v>22.467771639042358</v>
      </c>
      <c r="S161">
        <v>6</v>
      </c>
      <c r="T161" s="7">
        <v>12.213740458015266</v>
      </c>
      <c r="U161">
        <v>4</v>
      </c>
      <c r="V161" s="7">
        <v>11.389961389961389</v>
      </c>
      <c r="W161">
        <v>4</v>
      </c>
      <c r="X161" s="7">
        <v>25.266903914590749</v>
      </c>
      <c r="Y161">
        <v>6</v>
      </c>
      <c r="Z161" s="7">
        <v>16.015625</v>
      </c>
      <c r="AA161">
        <v>5</v>
      </c>
      <c r="AB161" s="7">
        <v>15.900383141762454</v>
      </c>
      <c r="AC161">
        <v>5</v>
      </c>
      <c r="AD161" s="7">
        <v>17.529880478087652</v>
      </c>
      <c r="AE161">
        <v>5</v>
      </c>
      <c r="AF161" s="7">
        <v>17.391304347826086</v>
      </c>
      <c r="AG161">
        <v>5</v>
      </c>
      <c r="AH161" s="7">
        <v>18.8715953307393</v>
      </c>
      <c r="AI161">
        <v>5</v>
      </c>
      <c r="AJ161" s="7">
        <v>30.4</v>
      </c>
      <c r="AK161">
        <v>7</v>
      </c>
      <c r="AL161" s="7"/>
      <c r="AN161" s="7"/>
      <c r="AP161" s="7"/>
      <c r="AQ161" s="7"/>
      <c r="AR161" s="7"/>
      <c r="AT161" s="7"/>
      <c r="AV161" s="7"/>
      <c r="AX161" s="7"/>
      <c r="AZ161" s="7"/>
      <c r="BB161" s="7"/>
      <c r="BM161" s="7"/>
      <c r="BO161" s="7"/>
    </row>
    <row r="162" spans="1:67" x14ac:dyDescent="0.3">
      <c r="E162" s="1" t="s">
        <v>167</v>
      </c>
      <c r="H162" s="7">
        <v>25.433526011560691</v>
      </c>
      <c r="I162">
        <v>6</v>
      </c>
      <c r="J162" s="7">
        <v>9.7256857855361591</v>
      </c>
      <c r="K162">
        <v>2</v>
      </c>
      <c r="L162" s="7">
        <v>15.227272727272728</v>
      </c>
      <c r="M162">
        <v>3</v>
      </c>
      <c r="N162" s="7">
        <v>9.4095940959409603</v>
      </c>
      <c r="O162">
        <v>2</v>
      </c>
      <c r="P162" s="7">
        <v>14.814814814814813</v>
      </c>
      <c r="Q162">
        <v>3</v>
      </c>
      <c r="R162" s="7">
        <v>9.2081031307550649</v>
      </c>
      <c r="S162">
        <v>2</v>
      </c>
      <c r="T162" s="7">
        <v>6.8702290076335881</v>
      </c>
      <c r="U162">
        <v>1</v>
      </c>
      <c r="V162" s="7">
        <v>12.548262548262548</v>
      </c>
      <c r="W162">
        <v>3</v>
      </c>
      <c r="X162" s="7">
        <v>13.523131672597867</v>
      </c>
      <c r="Y162">
        <v>3</v>
      </c>
      <c r="Z162" s="7">
        <v>18.1640625</v>
      </c>
      <c r="AA162">
        <v>4</v>
      </c>
      <c r="AB162" s="7">
        <v>9.3869731800766285</v>
      </c>
      <c r="AC162">
        <v>2</v>
      </c>
      <c r="AD162" s="7">
        <v>6.1752988047808763</v>
      </c>
      <c r="AE162">
        <v>1</v>
      </c>
      <c r="AF162" s="7">
        <v>20.793950850661624</v>
      </c>
      <c r="AG162">
        <v>5</v>
      </c>
      <c r="AH162" s="7">
        <v>18.093385214007782</v>
      </c>
      <c r="AI162">
        <v>4</v>
      </c>
      <c r="AJ162" s="7">
        <v>24.8</v>
      </c>
      <c r="AK162">
        <v>6</v>
      </c>
      <c r="AL162" s="8"/>
      <c r="AN162" s="8"/>
      <c r="AP162" s="8"/>
      <c r="AQ162" s="7"/>
      <c r="AR162" s="8"/>
      <c r="AT162" s="8"/>
      <c r="AV162" s="8"/>
      <c r="AX162" s="8"/>
      <c r="AZ162" s="8"/>
      <c r="BB162" s="8"/>
      <c r="BM162" s="8"/>
      <c r="BO162" s="8"/>
    </row>
    <row r="163" spans="1:67" x14ac:dyDescent="0.3">
      <c r="E163" s="1" t="s">
        <v>119</v>
      </c>
      <c r="H163" s="7">
        <v>26.589595375722542</v>
      </c>
      <c r="I163">
        <v>10</v>
      </c>
      <c r="J163" s="7">
        <v>20.947630922693268</v>
      </c>
      <c r="K163">
        <v>10</v>
      </c>
      <c r="L163" s="7">
        <v>12.5</v>
      </c>
      <c r="M163">
        <v>8</v>
      </c>
      <c r="N163" s="7">
        <v>5.3505535055350553</v>
      </c>
      <c r="O163">
        <v>3</v>
      </c>
      <c r="P163" s="7">
        <v>8.0808080808080813</v>
      </c>
      <c r="Q163">
        <v>5</v>
      </c>
      <c r="R163" s="7">
        <v>11.049723756906078</v>
      </c>
      <c r="S163">
        <v>7</v>
      </c>
      <c r="T163" s="7">
        <v>6.8702290076335881</v>
      </c>
      <c r="U163">
        <v>4</v>
      </c>
      <c r="V163" s="7">
        <v>10.038610038610038</v>
      </c>
      <c r="W163">
        <v>6</v>
      </c>
      <c r="X163" s="7">
        <v>16.370106761565836</v>
      </c>
      <c r="Y163">
        <v>10</v>
      </c>
      <c r="Z163" s="7">
        <v>11.328125</v>
      </c>
      <c r="AA163">
        <v>7</v>
      </c>
      <c r="AB163" s="7">
        <v>5.9386973180076632</v>
      </c>
      <c r="AC163">
        <v>4</v>
      </c>
      <c r="AD163" s="7">
        <v>5.9760956175298805</v>
      </c>
      <c r="AE163">
        <v>4</v>
      </c>
      <c r="AF163" s="7">
        <v>16.257088846880908</v>
      </c>
      <c r="AG163">
        <v>10</v>
      </c>
      <c r="AH163" s="7">
        <v>14.396887159533073</v>
      </c>
      <c r="AI163">
        <v>9</v>
      </c>
      <c r="AJ163" s="7">
        <v>18</v>
      </c>
      <c r="AK163">
        <v>10</v>
      </c>
      <c r="AL163" s="7"/>
      <c r="AN163" s="7"/>
      <c r="AP163" s="7"/>
      <c r="AQ163" s="7"/>
      <c r="AR163" s="7"/>
      <c r="AT163" s="7"/>
      <c r="AV163" s="7"/>
      <c r="AX163" s="7"/>
      <c r="AZ163" s="7"/>
      <c r="BB163" s="7"/>
      <c r="BM163" s="7"/>
      <c r="BO163" s="7"/>
    </row>
    <row r="164" spans="1:67" x14ac:dyDescent="0.3">
      <c r="E164" s="1" t="s">
        <v>168</v>
      </c>
      <c r="H164" s="7">
        <v>10.344827586206897</v>
      </c>
      <c r="I164">
        <v>5</v>
      </c>
      <c r="J164" s="7">
        <v>8.3333333333333321</v>
      </c>
      <c r="K164">
        <v>4</v>
      </c>
      <c r="L164" s="7">
        <v>15</v>
      </c>
      <c r="M164">
        <v>7</v>
      </c>
      <c r="N164" s="7">
        <v>7.8947368421052628</v>
      </c>
      <c r="O164">
        <v>4</v>
      </c>
      <c r="P164" s="7">
        <v>10.344827586206897</v>
      </c>
      <c r="Q164">
        <v>5</v>
      </c>
      <c r="R164" s="7">
        <v>12.121212121212121</v>
      </c>
      <c r="S164">
        <v>6</v>
      </c>
      <c r="T164" s="7">
        <v>10.714285714285714</v>
      </c>
      <c r="U164">
        <v>5</v>
      </c>
      <c r="V164" s="7">
        <v>7.5</v>
      </c>
      <c r="W164">
        <v>4</v>
      </c>
      <c r="X164" s="7">
        <v>4.7619047619047619</v>
      </c>
      <c r="Y164">
        <v>2</v>
      </c>
      <c r="Z164" s="7">
        <v>9.7560975609756095</v>
      </c>
      <c r="AA164">
        <v>5</v>
      </c>
      <c r="AB164" s="7">
        <v>10</v>
      </c>
      <c r="AC164">
        <v>5</v>
      </c>
      <c r="AD164" s="7">
        <v>14.705882352941178</v>
      </c>
      <c r="AE164">
        <v>7</v>
      </c>
      <c r="AF164" s="7">
        <v>14.814814814814813</v>
      </c>
      <c r="AG164">
        <v>7</v>
      </c>
      <c r="AH164" s="7">
        <v>10.638297872340425</v>
      </c>
      <c r="AI164">
        <v>5</v>
      </c>
      <c r="AJ164" s="7">
        <v>8.8235294117647065</v>
      </c>
      <c r="AK164">
        <v>4</v>
      </c>
      <c r="AL164" s="7"/>
      <c r="AN164" s="7"/>
      <c r="AP164" s="7"/>
      <c r="AQ164" s="7"/>
      <c r="AR164" s="7"/>
      <c r="AT164" s="7"/>
      <c r="AV164" s="7"/>
      <c r="AX164" s="7"/>
      <c r="AZ164" s="7"/>
      <c r="BB164" s="7"/>
      <c r="BM164" s="7"/>
      <c r="BO164" s="7"/>
    </row>
    <row r="165" spans="1:67" x14ac:dyDescent="0.3">
      <c r="E165" s="1" t="s">
        <v>112</v>
      </c>
      <c r="H165" s="7">
        <v>17.241379310344829</v>
      </c>
      <c r="I165">
        <v>8</v>
      </c>
      <c r="J165" s="7">
        <v>13.888888888888889</v>
      </c>
      <c r="K165">
        <v>8</v>
      </c>
      <c r="L165" s="7">
        <v>17.5</v>
      </c>
      <c r="M165">
        <v>8</v>
      </c>
      <c r="N165" s="7">
        <v>15.789473684210526</v>
      </c>
      <c r="O165">
        <v>8</v>
      </c>
      <c r="P165" s="7">
        <v>17.241379310344829</v>
      </c>
      <c r="Q165">
        <v>8</v>
      </c>
      <c r="R165" s="7">
        <v>15.151515151515152</v>
      </c>
      <c r="S165">
        <v>8</v>
      </c>
      <c r="T165" s="7">
        <v>10.714285714285714</v>
      </c>
      <c r="U165">
        <v>9</v>
      </c>
      <c r="V165" s="7">
        <v>20</v>
      </c>
      <c r="W165">
        <v>7</v>
      </c>
      <c r="X165" s="7">
        <v>28.571428571428569</v>
      </c>
      <c r="Y165">
        <v>6</v>
      </c>
      <c r="Z165" s="7">
        <v>17.073170731707318</v>
      </c>
      <c r="AA165">
        <v>8</v>
      </c>
      <c r="AB165" s="7">
        <v>23.333333333333332</v>
      </c>
      <c r="AC165">
        <v>7</v>
      </c>
      <c r="AD165" s="7">
        <v>20.588235294117645</v>
      </c>
      <c r="AE165">
        <v>7</v>
      </c>
      <c r="AF165" s="7">
        <v>20.930232558139537</v>
      </c>
      <c r="AG165">
        <v>7</v>
      </c>
      <c r="AH165" s="7">
        <v>19.148936170212767</v>
      </c>
      <c r="AI165">
        <v>7</v>
      </c>
      <c r="AJ165" s="7">
        <v>17.647058823529413</v>
      </c>
      <c r="AK165">
        <v>8</v>
      </c>
    </row>
    <row r="166" spans="1:67" x14ac:dyDescent="0.3">
      <c r="E166" s="1" t="s">
        <v>241</v>
      </c>
      <c r="I166">
        <v>68.75</v>
      </c>
      <c r="K166">
        <v>63.75</v>
      </c>
      <c r="M166">
        <v>65</v>
      </c>
      <c r="O166">
        <v>52.5</v>
      </c>
      <c r="Q166">
        <v>51.25</v>
      </c>
      <c r="S166">
        <v>57.5</v>
      </c>
      <c r="U166">
        <v>48.75</v>
      </c>
      <c r="W166">
        <v>57.5</v>
      </c>
      <c r="Y166">
        <v>48.75</v>
      </c>
      <c r="AA166">
        <v>65</v>
      </c>
      <c r="AC166">
        <v>46.25</v>
      </c>
      <c r="AE166">
        <v>48.75</v>
      </c>
      <c r="AG166">
        <v>70</v>
      </c>
      <c r="AI166">
        <v>72.5</v>
      </c>
      <c r="AK166">
        <v>66.25</v>
      </c>
    </row>
    <row r="167" spans="1:67" x14ac:dyDescent="0.3">
      <c r="A167" s="1"/>
      <c r="E167" s="1" t="s">
        <v>298</v>
      </c>
    </row>
    <row r="168" spans="1:67" x14ac:dyDescent="0.3">
      <c r="A168" s="1"/>
      <c r="E168" s="1" t="s">
        <v>239</v>
      </c>
    </row>
    <row r="169" spans="1:67" x14ac:dyDescent="0.3">
      <c r="E169" s="1" t="s">
        <v>366</v>
      </c>
    </row>
    <row r="170" spans="1:67" x14ac:dyDescent="0.3">
      <c r="E170" s="1" t="s">
        <v>240</v>
      </c>
      <c r="J170" s="5"/>
    </row>
    <row r="171" spans="1:67" x14ac:dyDescent="0.3">
      <c r="C171" s="2"/>
      <c r="J171" s="5"/>
    </row>
    <row r="172" spans="1:67" x14ac:dyDescent="0.3">
      <c r="J172" s="8"/>
    </row>
    <row r="173" spans="1:67" x14ac:dyDescent="0.3">
      <c r="J173" s="9"/>
    </row>
    <row r="174" spans="1:67" x14ac:dyDescent="0.3">
      <c r="J174" s="6"/>
    </row>
  </sheetData>
  <phoneticPr fontId="4"/>
  <pageMargins left="0.75" right="0.75" top="1" bottom="1" header="0.5" footer="0.5"/>
  <pageSetup orientation="portrait" horizontalDpi="4294967292" verticalDpi="4294967292"/>
  <headerFooter alignWithMargins="0"/>
  <ignoredErrors>
    <ignoredError sqref="F39" numberStoredAsText="1"/>
    <ignoredError sqref="J15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6545-C0C1-3040-AA35-94FBDB8DDA09}">
  <dimension ref="A1:H615"/>
  <sheetViews>
    <sheetView zoomScale="150" zoomScaleNormal="150" workbookViewId="0">
      <pane ySplit="1" topLeftCell="A2" activePane="bottomLeft" state="frozen"/>
      <selection pane="bottomLeft" activeCell="G521" sqref="G521"/>
    </sheetView>
  </sheetViews>
  <sheetFormatPr defaultColWidth="11.07421875" defaultRowHeight="13.5" x14ac:dyDescent="0.3"/>
  <cols>
    <col min="2" max="2" width="25.3046875" bestFit="1" customWidth="1"/>
  </cols>
  <sheetData>
    <row r="1" spans="1:6" ht="15.5" x14ac:dyDescent="0.35">
      <c r="A1" s="23" t="s">
        <v>336</v>
      </c>
      <c r="B1" s="23" t="s">
        <v>337</v>
      </c>
      <c r="C1" s="23" t="s">
        <v>338</v>
      </c>
      <c r="D1" s="23" t="s">
        <v>339</v>
      </c>
      <c r="E1" s="23" t="s">
        <v>340</v>
      </c>
      <c r="F1" s="23" t="s">
        <v>341</v>
      </c>
    </row>
    <row r="2" spans="1:6" x14ac:dyDescent="0.3">
      <c r="A2" s="3" t="s">
        <v>342</v>
      </c>
      <c r="B2" s="2" t="s">
        <v>30</v>
      </c>
      <c r="C2" s="3">
        <v>1</v>
      </c>
      <c r="D2" s="3" t="s">
        <v>344</v>
      </c>
      <c r="E2">
        <v>0</v>
      </c>
    </row>
    <row r="3" spans="1:6" x14ac:dyDescent="0.3">
      <c r="A3" s="3" t="s">
        <v>342</v>
      </c>
      <c r="B3" s="2" t="s">
        <v>220</v>
      </c>
      <c r="C3">
        <v>5</v>
      </c>
      <c r="D3" s="3" t="s">
        <v>344</v>
      </c>
      <c r="E3">
        <v>0</v>
      </c>
    </row>
    <row r="4" spans="1:6" x14ac:dyDescent="0.3">
      <c r="A4" s="3" t="s">
        <v>342</v>
      </c>
      <c r="B4" s="2" t="s">
        <v>56</v>
      </c>
      <c r="C4">
        <v>1</v>
      </c>
      <c r="D4" s="3" t="s">
        <v>343</v>
      </c>
      <c r="E4">
        <v>0</v>
      </c>
    </row>
    <row r="5" spans="1:6" x14ac:dyDescent="0.3">
      <c r="A5" s="3" t="s">
        <v>342</v>
      </c>
      <c r="B5" s="2" t="s">
        <v>147</v>
      </c>
      <c r="C5" s="3">
        <v>2</v>
      </c>
      <c r="D5" s="3" t="s">
        <v>344</v>
      </c>
      <c r="E5">
        <v>0</v>
      </c>
    </row>
    <row r="6" spans="1:6" x14ac:dyDescent="0.3">
      <c r="A6" s="3" t="s">
        <v>342</v>
      </c>
      <c r="B6" s="2" t="s">
        <v>151</v>
      </c>
      <c r="C6">
        <v>32</v>
      </c>
      <c r="D6" s="3" t="s">
        <v>344</v>
      </c>
      <c r="E6">
        <v>0</v>
      </c>
    </row>
    <row r="7" spans="1:6" x14ac:dyDescent="0.3">
      <c r="A7" s="3" t="s">
        <v>342</v>
      </c>
      <c r="B7" t="s">
        <v>41</v>
      </c>
      <c r="C7" s="3">
        <v>4</v>
      </c>
      <c r="D7" s="3" t="s">
        <v>344</v>
      </c>
      <c r="E7">
        <v>0</v>
      </c>
      <c r="F7" s="3" t="s">
        <v>243</v>
      </c>
    </row>
    <row r="8" spans="1:6" x14ac:dyDescent="0.3">
      <c r="A8" s="3" t="s">
        <v>342</v>
      </c>
      <c r="B8" s="2" t="s">
        <v>20</v>
      </c>
      <c r="C8" s="3">
        <v>16</v>
      </c>
      <c r="D8" s="3" t="s">
        <v>344</v>
      </c>
      <c r="E8">
        <v>0</v>
      </c>
    </row>
    <row r="9" spans="1:6" x14ac:dyDescent="0.3">
      <c r="A9" s="3" t="s">
        <v>342</v>
      </c>
      <c r="B9" s="2" t="s">
        <v>138</v>
      </c>
      <c r="C9" s="3">
        <v>8</v>
      </c>
      <c r="D9" s="3" t="s">
        <v>344</v>
      </c>
      <c r="E9">
        <v>0</v>
      </c>
    </row>
    <row r="10" spans="1:6" x14ac:dyDescent="0.3">
      <c r="A10" s="3" t="s">
        <v>342</v>
      </c>
      <c r="B10" s="3" t="s">
        <v>246</v>
      </c>
      <c r="C10" s="3">
        <v>1</v>
      </c>
      <c r="D10" s="3" t="s">
        <v>344</v>
      </c>
      <c r="E10">
        <v>0</v>
      </c>
    </row>
    <row r="11" spans="1:6" x14ac:dyDescent="0.3">
      <c r="A11" s="3" t="s">
        <v>342</v>
      </c>
      <c r="B11" s="2" t="s">
        <v>103</v>
      </c>
      <c r="C11" s="3">
        <v>4</v>
      </c>
      <c r="D11" s="3" t="s">
        <v>344</v>
      </c>
      <c r="E11">
        <v>0</v>
      </c>
    </row>
    <row r="12" spans="1:6" x14ac:dyDescent="0.3">
      <c r="A12" s="3" t="s">
        <v>342</v>
      </c>
      <c r="B12" s="2" t="s">
        <v>103</v>
      </c>
      <c r="C12" s="3">
        <v>2</v>
      </c>
      <c r="D12" s="3" t="s">
        <v>157</v>
      </c>
      <c r="E12">
        <v>0</v>
      </c>
      <c r="F12" s="3" t="s">
        <v>346</v>
      </c>
    </row>
    <row r="13" spans="1:6" x14ac:dyDescent="0.3">
      <c r="A13" s="3" t="s">
        <v>342</v>
      </c>
      <c r="B13" s="2" t="s">
        <v>120</v>
      </c>
      <c r="C13" s="3">
        <v>9</v>
      </c>
      <c r="D13" s="3" t="s">
        <v>344</v>
      </c>
      <c r="E13">
        <v>0</v>
      </c>
    </row>
    <row r="14" spans="1:6" x14ac:dyDescent="0.3">
      <c r="A14" s="3" t="s">
        <v>342</v>
      </c>
      <c r="B14" s="2" t="s">
        <v>242</v>
      </c>
      <c r="C14" s="3">
        <v>1</v>
      </c>
      <c r="D14" s="3" t="s">
        <v>344</v>
      </c>
      <c r="E14">
        <v>0</v>
      </c>
    </row>
    <row r="15" spans="1:6" x14ac:dyDescent="0.3">
      <c r="A15" s="3" t="s">
        <v>342</v>
      </c>
      <c r="B15" s="2" t="s">
        <v>32</v>
      </c>
      <c r="C15">
        <v>1</v>
      </c>
      <c r="D15" s="3" t="s">
        <v>343</v>
      </c>
      <c r="E15">
        <v>0</v>
      </c>
    </row>
    <row r="16" spans="1:6" x14ac:dyDescent="0.3">
      <c r="A16" s="3" t="s">
        <v>342</v>
      </c>
      <c r="B16" s="2" t="s">
        <v>85</v>
      </c>
      <c r="C16" s="3">
        <v>2</v>
      </c>
      <c r="D16" s="3" t="s">
        <v>344</v>
      </c>
      <c r="E16">
        <v>0</v>
      </c>
    </row>
    <row r="17" spans="1:6" x14ac:dyDescent="0.3">
      <c r="A17" s="3" t="s">
        <v>342</v>
      </c>
      <c r="B17" s="2" t="s">
        <v>9</v>
      </c>
      <c r="C17">
        <v>3</v>
      </c>
      <c r="D17" s="3" t="s">
        <v>344</v>
      </c>
      <c r="E17">
        <v>0</v>
      </c>
    </row>
    <row r="18" spans="1:6" x14ac:dyDescent="0.3">
      <c r="A18" s="3" t="s">
        <v>342</v>
      </c>
      <c r="B18" s="2" t="s">
        <v>196</v>
      </c>
      <c r="C18" s="3">
        <v>2</v>
      </c>
      <c r="D18" s="3" t="s">
        <v>344</v>
      </c>
      <c r="E18">
        <v>0</v>
      </c>
    </row>
    <row r="19" spans="1:6" x14ac:dyDescent="0.3">
      <c r="A19" s="3" t="s">
        <v>342</v>
      </c>
      <c r="B19" s="2" t="s">
        <v>234</v>
      </c>
      <c r="C19" s="3">
        <v>1</v>
      </c>
      <c r="D19" s="3" t="s">
        <v>344</v>
      </c>
      <c r="E19">
        <v>0</v>
      </c>
    </row>
    <row r="20" spans="1:6" x14ac:dyDescent="0.3">
      <c r="A20" s="3" t="s">
        <v>342</v>
      </c>
      <c r="B20" s="2" t="s">
        <v>179</v>
      </c>
      <c r="C20" s="3">
        <v>1</v>
      </c>
      <c r="D20" s="3" t="s">
        <v>224</v>
      </c>
      <c r="E20">
        <v>0</v>
      </c>
    </row>
    <row r="21" spans="1:6" x14ac:dyDescent="0.3">
      <c r="A21" s="3" t="s">
        <v>342</v>
      </c>
      <c r="B21" s="2" t="s">
        <v>179</v>
      </c>
      <c r="C21" s="3">
        <v>5</v>
      </c>
      <c r="D21" s="3" t="s">
        <v>344</v>
      </c>
      <c r="E21">
        <v>0</v>
      </c>
      <c r="F21" s="3" t="s">
        <v>345</v>
      </c>
    </row>
    <row r="22" spans="1:6" x14ac:dyDescent="0.3">
      <c r="A22" s="3" t="s">
        <v>342</v>
      </c>
      <c r="B22" t="s">
        <v>71</v>
      </c>
      <c r="C22">
        <v>14</v>
      </c>
      <c r="D22" s="3" t="s">
        <v>343</v>
      </c>
      <c r="E22">
        <v>0</v>
      </c>
    </row>
    <row r="23" spans="1:6" x14ac:dyDescent="0.3">
      <c r="A23" s="3" t="s">
        <v>342</v>
      </c>
      <c r="B23" s="2" t="s">
        <v>104</v>
      </c>
      <c r="C23" s="3">
        <v>8</v>
      </c>
      <c r="D23" s="24" t="s">
        <v>344</v>
      </c>
      <c r="E23">
        <v>0</v>
      </c>
    </row>
    <row r="24" spans="1:6" x14ac:dyDescent="0.3">
      <c r="A24" s="3" t="s">
        <v>342</v>
      </c>
      <c r="B24" s="2" t="s">
        <v>104</v>
      </c>
      <c r="C24" s="3">
        <v>4</v>
      </c>
      <c r="D24" s="24" t="s">
        <v>224</v>
      </c>
      <c r="E24">
        <v>0</v>
      </c>
    </row>
    <row r="25" spans="1:6" x14ac:dyDescent="0.3">
      <c r="A25" s="3" t="s">
        <v>342</v>
      </c>
      <c r="B25" s="3" t="s">
        <v>310</v>
      </c>
      <c r="C25" s="3">
        <v>2</v>
      </c>
      <c r="D25" s="3" t="s">
        <v>344</v>
      </c>
      <c r="E25">
        <v>0</v>
      </c>
    </row>
    <row r="26" spans="1:6" x14ac:dyDescent="0.3">
      <c r="A26" s="3" t="s">
        <v>342</v>
      </c>
      <c r="B26" t="s">
        <v>72</v>
      </c>
      <c r="C26">
        <v>20</v>
      </c>
      <c r="D26" s="3" t="s">
        <v>343</v>
      </c>
      <c r="E26">
        <v>0</v>
      </c>
    </row>
    <row r="27" spans="1:6" x14ac:dyDescent="0.3">
      <c r="A27" s="3" t="s">
        <v>342</v>
      </c>
      <c r="B27" s="2" t="s">
        <v>114</v>
      </c>
      <c r="C27" s="3">
        <v>2</v>
      </c>
      <c r="D27" s="3" t="s">
        <v>344</v>
      </c>
      <c r="E27">
        <v>0</v>
      </c>
    </row>
    <row r="28" spans="1:6" x14ac:dyDescent="0.3">
      <c r="A28" s="3" t="s">
        <v>342</v>
      </c>
      <c r="B28" s="2" t="s">
        <v>150</v>
      </c>
      <c r="C28">
        <v>4</v>
      </c>
      <c r="D28" s="3" t="s">
        <v>344</v>
      </c>
      <c r="E28">
        <v>0</v>
      </c>
    </row>
    <row r="29" spans="1:6" x14ac:dyDescent="0.3">
      <c r="A29" s="3" t="s">
        <v>342</v>
      </c>
      <c r="B29" s="2" t="s">
        <v>175</v>
      </c>
      <c r="C29" s="3">
        <v>1</v>
      </c>
      <c r="D29" s="3" t="s">
        <v>344</v>
      </c>
      <c r="E29">
        <v>0</v>
      </c>
    </row>
    <row r="30" spans="1:6" x14ac:dyDescent="0.3">
      <c r="A30" s="3" t="s">
        <v>342</v>
      </c>
      <c r="B30" s="2" t="s">
        <v>149</v>
      </c>
      <c r="C30" s="3">
        <v>7</v>
      </c>
      <c r="D30" s="3" t="s">
        <v>344</v>
      </c>
      <c r="E30">
        <v>0</v>
      </c>
      <c r="F30" t="s">
        <v>133</v>
      </c>
    </row>
    <row r="31" spans="1:6" x14ac:dyDescent="0.3">
      <c r="A31" s="3" t="s">
        <v>342</v>
      </c>
      <c r="B31" s="2" t="s">
        <v>39</v>
      </c>
      <c r="C31" s="3">
        <v>2</v>
      </c>
      <c r="D31" s="3" t="s">
        <v>344</v>
      </c>
      <c r="E31">
        <v>0</v>
      </c>
    </row>
    <row r="32" spans="1:6" x14ac:dyDescent="0.3">
      <c r="A32" s="3" t="s">
        <v>342</v>
      </c>
      <c r="B32" s="3" t="s">
        <v>334</v>
      </c>
      <c r="C32" s="3">
        <v>3</v>
      </c>
      <c r="D32" s="3" t="s">
        <v>344</v>
      </c>
      <c r="E32">
        <v>0</v>
      </c>
    </row>
    <row r="33" spans="1:8" x14ac:dyDescent="0.3">
      <c r="A33" s="3" t="s">
        <v>342</v>
      </c>
      <c r="B33" s="2" t="s">
        <v>35</v>
      </c>
      <c r="C33">
        <v>2</v>
      </c>
      <c r="D33" s="3" t="s">
        <v>343</v>
      </c>
      <c r="E33">
        <v>0</v>
      </c>
      <c r="G33">
        <f>SUM(C$2:C$34)</f>
        <v>173</v>
      </c>
      <c r="H33">
        <v>173</v>
      </c>
    </row>
    <row r="34" spans="1:8" x14ac:dyDescent="0.3">
      <c r="A34" s="3" t="s">
        <v>342</v>
      </c>
      <c r="B34" s="2" t="s">
        <v>125</v>
      </c>
      <c r="C34" s="3">
        <v>3</v>
      </c>
      <c r="D34" s="3" t="s">
        <v>344</v>
      </c>
      <c r="E34">
        <v>0</v>
      </c>
      <c r="G34">
        <f>COUNT(C$2:C$34)</f>
        <v>33</v>
      </c>
      <c r="H34">
        <v>30</v>
      </c>
    </row>
    <row r="35" spans="1:8" x14ac:dyDescent="0.3">
      <c r="A35" s="3" t="s">
        <v>347</v>
      </c>
      <c r="B35" s="2" t="s">
        <v>261</v>
      </c>
      <c r="C35">
        <v>1</v>
      </c>
      <c r="D35" s="3" t="s">
        <v>224</v>
      </c>
      <c r="E35">
        <v>0</v>
      </c>
    </row>
    <row r="36" spans="1:8" x14ac:dyDescent="0.3">
      <c r="A36" s="3" t="s">
        <v>347</v>
      </c>
      <c r="B36" s="2" t="s">
        <v>152</v>
      </c>
      <c r="C36">
        <v>4</v>
      </c>
      <c r="D36" s="3" t="s">
        <v>344</v>
      </c>
      <c r="E36">
        <v>0</v>
      </c>
    </row>
    <row r="37" spans="1:8" x14ac:dyDescent="0.3">
      <c r="A37" s="3" t="s">
        <v>347</v>
      </c>
      <c r="B37" s="2" t="s">
        <v>30</v>
      </c>
      <c r="C37">
        <v>3</v>
      </c>
      <c r="D37" s="3" t="s">
        <v>344</v>
      </c>
      <c r="E37">
        <v>0</v>
      </c>
    </row>
    <row r="38" spans="1:8" x14ac:dyDescent="0.3">
      <c r="A38" s="3" t="s">
        <v>347</v>
      </c>
      <c r="B38" s="2" t="s">
        <v>220</v>
      </c>
      <c r="C38">
        <v>2</v>
      </c>
      <c r="D38" s="3" t="s">
        <v>344</v>
      </c>
      <c r="E38">
        <v>0</v>
      </c>
    </row>
    <row r="39" spans="1:8" x14ac:dyDescent="0.3">
      <c r="A39" s="3" t="s">
        <v>347</v>
      </c>
      <c r="B39" s="2" t="s">
        <v>56</v>
      </c>
      <c r="C39">
        <v>1</v>
      </c>
      <c r="D39" s="3" t="s">
        <v>343</v>
      </c>
      <c r="E39">
        <v>0</v>
      </c>
    </row>
    <row r="40" spans="1:8" x14ac:dyDescent="0.3">
      <c r="A40" s="3" t="s">
        <v>347</v>
      </c>
      <c r="B40" s="2" t="s">
        <v>147</v>
      </c>
      <c r="C40">
        <v>15</v>
      </c>
      <c r="D40" s="3" t="s">
        <v>344</v>
      </c>
      <c r="E40">
        <v>0</v>
      </c>
    </row>
    <row r="41" spans="1:8" x14ac:dyDescent="0.3">
      <c r="A41" s="3" t="s">
        <v>347</v>
      </c>
      <c r="B41" s="2" t="s">
        <v>98</v>
      </c>
      <c r="C41">
        <v>1</v>
      </c>
      <c r="D41" s="3" t="s">
        <v>344</v>
      </c>
      <c r="E41">
        <v>0</v>
      </c>
    </row>
    <row r="42" spans="1:8" x14ac:dyDescent="0.3">
      <c r="A42" s="3" t="s">
        <v>347</v>
      </c>
      <c r="B42" s="2" t="s">
        <v>151</v>
      </c>
      <c r="C42">
        <v>35</v>
      </c>
      <c r="D42" s="3" t="s">
        <v>344</v>
      </c>
      <c r="E42">
        <v>0</v>
      </c>
    </row>
    <row r="43" spans="1:8" x14ac:dyDescent="0.3">
      <c r="A43" s="3" t="s">
        <v>347</v>
      </c>
      <c r="B43" s="3" t="s">
        <v>333</v>
      </c>
      <c r="C43" s="3">
        <v>17</v>
      </c>
      <c r="D43" s="3" t="s">
        <v>344</v>
      </c>
      <c r="E43">
        <v>0</v>
      </c>
    </row>
    <row r="44" spans="1:8" x14ac:dyDescent="0.3">
      <c r="A44" s="3" t="s">
        <v>347</v>
      </c>
      <c r="B44" s="3" t="s">
        <v>333</v>
      </c>
      <c r="C44" s="3">
        <v>2</v>
      </c>
      <c r="D44" s="3" t="s">
        <v>157</v>
      </c>
      <c r="E44">
        <v>0</v>
      </c>
    </row>
    <row r="45" spans="1:8" x14ac:dyDescent="0.3">
      <c r="A45" s="3" t="s">
        <v>347</v>
      </c>
      <c r="B45" s="2" t="s">
        <v>249</v>
      </c>
      <c r="C45">
        <v>1</v>
      </c>
      <c r="D45" s="3" t="s">
        <v>344</v>
      </c>
      <c r="E45">
        <v>0</v>
      </c>
    </row>
    <row r="46" spans="1:8" x14ac:dyDescent="0.3">
      <c r="A46" s="3" t="s">
        <v>347</v>
      </c>
      <c r="B46" s="2" t="s">
        <v>20</v>
      </c>
      <c r="C46">
        <v>12</v>
      </c>
      <c r="D46" s="3" t="s">
        <v>344</v>
      </c>
      <c r="E46">
        <v>0</v>
      </c>
    </row>
    <row r="47" spans="1:8" x14ac:dyDescent="0.3">
      <c r="A47" s="3" t="s">
        <v>347</v>
      </c>
      <c r="B47" s="2" t="s">
        <v>138</v>
      </c>
      <c r="C47">
        <v>7</v>
      </c>
      <c r="D47" s="3" t="s">
        <v>344</v>
      </c>
      <c r="E47">
        <v>0</v>
      </c>
    </row>
    <row r="48" spans="1:8" x14ac:dyDescent="0.3">
      <c r="A48" s="3" t="s">
        <v>347</v>
      </c>
      <c r="B48" s="2" t="s">
        <v>103</v>
      </c>
      <c r="C48">
        <v>1</v>
      </c>
      <c r="D48" s="3" t="s">
        <v>344</v>
      </c>
      <c r="E48">
        <v>0</v>
      </c>
    </row>
    <row r="49" spans="1:6" x14ac:dyDescent="0.3">
      <c r="A49" s="3" t="s">
        <v>347</v>
      </c>
      <c r="B49" s="2" t="s">
        <v>103</v>
      </c>
      <c r="C49">
        <v>1</v>
      </c>
      <c r="D49" s="3" t="s">
        <v>157</v>
      </c>
      <c r="E49">
        <v>0</v>
      </c>
    </row>
    <row r="50" spans="1:6" x14ac:dyDescent="0.3">
      <c r="A50" s="3" t="s">
        <v>347</v>
      </c>
      <c r="B50" s="2" t="s">
        <v>120</v>
      </c>
      <c r="C50">
        <v>31</v>
      </c>
      <c r="D50" s="3" t="s">
        <v>344</v>
      </c>
      <c r="E50">
        <v>0</v>
      </c>
    </row>
    <row r="51" spans="1:6" x14ac:dyDescent="0.3">
      <c r="A51" s="3" t="s">
        <v>347</v>
      </c>
      <c r="B51" s="2" t="s">
        <v>251</v>
      </c>
      <c r="C51">
        <v>1</v>
      </c>
      <c r="D51" s="3" t="s">
        <v>344</v>
      </c>
      <c r="E51">
        <v>0</v>
      </c>
    </row>
    <row r="52" spans="1:6" x14ac:dyDescent="0.3">
      <c r="A52" s="3" t="s">
        <v>347</v>
      </c>
      <c r="B52" s="2" t="s">
        <v>32</v>
      </c>
      <c r="C52">
        <v>2</v>
      </c>
      <c r="D52" s="3" t="s">
        <v>343</v>
      </c>
      <c r="E52">
        <v>0</v>
      </c>
      <c r="F52" s="3" t="s">
        <v>248</v>
      </c>
    </row>
    <row r="53" spans="1:6" x14ac:dyDescent="0.3">
      <c r="A53" s="3" t="s">
        <v>347</v>
      </c>
      <c r="B53" s="2" t="s">
        <v>85</v>
      </c>
      <c r="C53">
        <v>2</v>
      </c>
      <c r="D53" s="3" t="s">
        <v>344</v>
      </c>
      <c r="E53">
        <v>0</v>
      </c>
    </row>
    <row r="54" spans="1:6" x14ac:dyDescent="0.3">
      <c r="A54" s="3" t="s">
        <v>347</v>
      </c>
      <c r="B54" s="2" t="s">
        <v>9</v>
      </c>
      <c r="C54">
        <v>27</v>
      </c>
      <c r="D54" s="3" t="s">
        <v>344</v>
      </c>
      <c r="E54">
        <v>0</v>
      </c>
      <c r="F54" t="s">
        <v>208</v>
      </c>
    </row>
    <row r="55" spans="1:6" x14ac:dyDescent="0.3">
      <c r="A55" s="3" t="s">
        <v>347</v>
      </c>
      <c r="B55" s="2" t="s">
        <v>77</v>
      </c>
      <c r="C55">
        <v>1</v>
      </c>
      <c r="D55" s="3" t="s">
        <v>344</v>
      </c>
      <c r="E55">
        <v>0</v>
      </c>
      <c r="F55" s="3" t="s">
        <v>253</v>
      </c>
    </row>
    <row r="56" spans="1:6" x14ac:dyDescent="0.3">
      <c r="A56" s="3" t="s">
        <v>347</v>
      </c>
      <c r="B56" s="2" t="s">
        <v>179</v>
      </c>
      <c r="C56">
        <v>16</v>
      </c>
      <c r="D56" s="3" t="s">
        <v>344</v>
      </c>
      <c r="E56">
        <v>0</v>
      </c>
      <c r="F56" s="3" t="s">
        <v>345</v>
      </c>
    </row>
    <row r="57" spans="1:6" x14ac:dyDescent="0.3">
      <c r="A57" s="3" t="s">
        <v>347</v>
      </c>
      <c r="B57" s="2" t="s">
        <v>179</v>
      </c>
      <c r="C57">
        <v>1</v>
      </c>
      <c r="D57" s="3" t="s">
        <v>224</v>
      </c>
      <c r="E57">
        <v>0</v>
      </c>
    </row>
    <row r="58" spans="1:6" x14ac:dyDescent="0.3">
      <c r="A58" s="3" t="s">
        <v>347</v>
      </c>
      <c r="B58" s="2" t="s">
        <v>206</v>
      </c>
      <c r="C58">
        <v>5</v>
      </c>
      <c r="D58" s="3" t="s">
        <v>344</v>
      </c>
      <c r="E58">
        <v>0</v>
      </c>
    </row>
    <row r="59" spans="1:6" x14ac:dyDescent="0.3">
      <c r="A59" s="3" t="s">
        <v>347</v>
      </c>
      <c r="B59" s="2" t="s">
        <v>105</v>
      </c>
      <c r="C59">
        <v>5</v>
      </c>
      <c r="D59" s="3" t="s">
        <v>344</v>
      </c>
      <c r="E59">
        <v>0</v>
      </c>
      <c r="F59" s="3" t="s">
        <v>259</v>
      </c>
    </row>
    <row r="60" spans="1:6" x14ac:dyDescent="0.3">
      <c r="A60" s="3" t="s">
        <v>347</v>
      </c>
      <c r="B60" s="2" t="s">
        <v>136</v>
      </c>
      <c r="C60">
        <v>4</v>
      </c>
      <c r="D60" s="3" t="s">
        <v>344</v>
      </c>
      <c r="E60">
        <v>0</v>
      </c>
    </row>
    <row r="61" spans="1:6" x14ac:dyDescent="0.3">
      <c r="A61" s="3" t="s">
        <v>347</v>
      </c>
      <c r="B61" s="2" t="s">
        <v>136</v>
      </c>
      <c r="C61">
        <v>1</v>
      </c>
      <c r="D61" s="3" t="s">
        <v>157</v>
      </c>
      <c r="E61">
        <v>0</v>
      </c>
    </row>
    <row r="62" spans="1:6" x14ac:dyDescent="0.3">
      <c r="A62" s="3" t="s">
        <v>347</v>
      </c>
      <c r="B62" s="2" t="s">
        <v>202</v>
      </c>
      <c r="C62">
        <v>1</v>
      </c>
      <c r="D62" s="3" t="s">
        <v>344</v>
      </c>
      <c r="E62">
        <v>0</v>
      </c>
    </row>
    <row r="63" spans="1:6" x14ac:dyDescent="0.3">
      <c r="A63" s="3" t="s">
        <v>347</v>
      </c>
      <c r="B63" t="s">
        <v>71</v>
      </c>
      <c r="C63">
        <v>17</v>
      </c>
      <c r="D63" s="3" t="s">
        <v>343</v>
      </c>
      <c r="E63">
        <v>0</v>
      </c>
    </row>
    <row r="64" spans="1:6" x14ac:dyDescent="0.3">
      <c r="A64" s="3" t="s">
        <v>347</v>
      </c>
      <c r="B64" s="2" t="s">
        <v>104</v>
      </c>
      <c r="C64">
        <v>10</v>
      </c>
      <c r="D64" s="3" t="s">
        <v>344</v>
      </c>
      <c r="E64">
        <v>0</v>
      </c>
    </row>
    <row r="65" spans="1:8" x14ac:dyDescent="0.3">
      <c r="A65" s="3" t="s">
        <v>347</v>
      </c>
      <c r="B65" s="2" t="s">
        <v>104</v>
      </c>
      <c r="C65">
        <v>2</v>
      </c>
      <c r="D65" s="3" t="s">
        <v>224</v>
      </c>
      <c r="E65">
        <v>0</v>
      </c>
    </row>
    <row r="66" spans="1:8" x14ac:dyDescent="0.3">
      <c r="A66" s="3" t="s">
        <v>347</v>
      </c>
      <c r="B66" s="2" t="s">
        <v>153</v>
      </c>
      <c r="C66">
        <v>4</v>
      </c>
      <c r="D66" s="3" t="s">
        <v>344</v>
      </c>
      <c r="E66">
        <v>0</v>
      </c>
    </row>
    <row r="67" spans="1:8" x14ac:dyDescent="0.3">
      <c r="A67" s="3" t="s">
        <v>347</v>
      </c>
      <c r="B67" s="2" t="s">
        <v>153</v>
      </c>
      <c r="C67">
        <v>3</v>
      </c>
      <c r="D67" s="3" t="s">
        <v>224</v>
      </c>
      <c r="E67">
        <v>0</v>
      </c>
    </row>
    <row r="68" spans="1:8" x14ac:dyDescent="0.3">
      <c r="A68" s="3" t="s">
        <v>347</v>
      </c>
      <c r="B68" s="3" t="s">
        <v>310</v>
      </c>
      <c r="C68" s="3">
        <v>60</v>
      </c>
      <c r="D68" s="3" t="s">
        <v>344</v>
      </c>
      <c r="E68">
        <v>0</v>
      </c>
    </row>
    <row r="69" spans="1:8" x14ac:dyDescent="0.3">
      <c r="A69" s="3" t="s">
        <v>347</v>
      </c>
      <c r="B69" s="3" t="s">
        <v>310</v>
      </c>
      <c r="C69" s="3">
        <v>10</v>
      </c>
      <c r="D69" s="3" t="s">
        <v>157</v>
      </c>
      <c r="E69">
        <v>0</v>
      </c>
    </row>
    <row r="70" spans="1:8" x14ac:dyDescent="0.3">
      <c r="A70" s="3" t="s">
        <v>347</v>
      </c>
      <c r="B70" t="s">
        <v>72</v>
      </c>
      <c r="C70">
        <v>28</v>
      </c>
      <c r="D70" s="3" t="s">
        <v>343</v>
      </c>
      <c r="E70">
        <v>0</v>
      </c>
    </row>
    <row r="71" spans="1:8" x14ac:dyDescent="0.3">
      <c r="A71" s="3" t="s">
        <v>347</v>
      </c>
      <c r="B71" s="2" t="s">
        <v>114</v>
      </c>
      <c r="C71">
        <v>9</v>
      </c>
      <c r="D71" s="3" t="s">
        <v>344</v>
      </c>
      <c r="E71">
        <v>0</v>
      </c>
    </row>
    <row r="72" spans="1:8" x14ac:dyDescent="0.3">
      <c r="A72" s="3" t="s">
        <v>347</v>
      </c>
      <c r="B72" s="2" t="s">
        <v>175</v>
      </c>
      <c r="C72">
        <v>1</v>
      </c>
      <c r="D72" s="3" t="s">
        <v>344</v>
      </c>
      <c r="E72">
        <v>0</v>
      </c>
    </row>
    <row r="73" spans="1:8" x14ac:dyDescent="0.3">
      <c r="A73" s="3" t="s">
        <v>347</v>
      </c>
      <c r="B73" s="2" t="s">
        <v>149</v>
      </c>
      <c r="C73">
        <v>2</v>
      </c>
      <c r="D73" s="3" t="s">
        <v>344</v>
      </c>
      <c r="E73">
        <v>0</v>
      </c>
      <c r="F73" s="3" t="s">
        <v>133</v>
      </c>
    </row>
    <row r="74" spans="1:8" x14ac:dyDescent="0.3">
      <c r="A74" s="3" t="s">
        <v>347</v>
      </c>
      <c r="B74" s="2" t="s">
        <v>39</v>
      </c>
      <c r="C74">
        <v>8</v>
      </c>
      <c r="D74" s="3" t="s">
        <v>344</v>
      </c>
      <c r="E74">
        <v>0</v>
      </c>
    </row>
    <row r="75" spans="1:8" x14ac:dyDescent="0.3">
      <c r="A75" s="3" t="s">
        <v>347</v>
      </c>
      <c r="B75" s="2" t="s">
        <v>49</v>
      </c>
      <c r="C75">
        <v>4</v>
      </c>
      <c r="D75" s="3" t="s">
        <v>344</v>
      </c>
      <c r="E75">
        <v>0</v>
      </c>
      <c r="F75" s="3" t="s">
        <v>252</v>
      </c>
    </row>
    <row r="76" spans="1:8" x14ac:dyDescent="0.3">
      <c r="A76" s="3" t="s">
        <v>347</v>
      </c>
      <c r="B76" s="3" t="s">
        <v>334</v>
      </c>
      <c r="C76" s="3">
        <v>14</v>
      </c>
      <c r="D76" s="3" t="s">
        <v>344</v>
      </c>
      <c r="E76">
        <v>0</v>
      </c>
    </row>
    <row r="77" spans="1:8" x14ac:dyDescent="0.3">
      <c r="A77" s="3" t="s">
        <v>347</v>
      </c>
      <c r="B77" s="2" t="s">
        <v>35</v>
      </c>
      <c r="C77">
        <v>25</v>
      </c>
      <c r="D77" s="3" t="s">
        <v>343</v>
      </c>
      <c r="E77">
        <v>0</v>
      </c>
    </row>
    <row r="78" spans="1:8" x14ac:dyDescent="0.3">
      <c r="A78" s="3" t="s">
        <v>347</v>
      </c>
      <c r="B78" s="2" t="s">
        <v>36</v>
      </c>
      <c r="C78">
        <v>3</v>
      </c>
      <c r="D78" s="3" t="s">
        <v>344</v>
      </c>
      <c r="E78">
        <v>0</v>
      </c>
      <c r="G78">
        <f>SUM(C$35:C$79)</f>
        <v>401</v>
      </c>
      <c r="H78">
        <v>401</v>
      </c>
    </row>
    <row r="79" spans="1:8" x14ac:dyDescent="0.3">
      <c r="A79" s="3" t="s">
        <v>347</v>
      </c>
      <c r="B79" s="2" t="s">
        <v>125</v>
      </c>
      <c r="C79">
        <v>1</v>
      </c>
      <c r="D79" s="3" t="s">
        <v>344</v>
      </c>
      <c r="E79">
        <v>0</v>
      </c>
      <c r="G79">
        <f>COUNT(C$35:C$79)</f>
        <v>45</v>
      </c>
      <c r="H79">
        <v>38</v>
      </c>
    </row>
    <row r="80" spans="1:8" x14ac:dyDescent="0.3">
      <c r="A80" s="3" t="s">
        <v>348</v>
      </c>
      <c r="B80" s="2" t="s">
        <v>152</v>
      </c>
      <c r="C80">
        <v>2</v>
      </c>
      <c r="D80" s="3" t="s">
        <v>344</v>
      </c>
      <c r="E80">
        <v>0</v>
      </c>
    </row>
    <row r="81" spans="1:5" x14ac:dyDescent="0.3">
      <c r="A81" s="3" t="s">
        <v>348</v>
      </c>
      <c r="B81" s="2" t="s">
        <v>178</v>
      </c>
      <c r="C81">
        <v>1</v>
      </c>
      <c r="D81" s="3" t="s">
        <v>344</v>
      </c>
      <c r="E81">
        <v>0</v>
      </c>
    </row>
    <row r="82" spans="1:5" x14ac:dyDescent="0.3">
      <c r="A82" s="3" t="s">
        <v>348</v>
      </c>
      <c r="B82" s="2" t="s">
        <v>30</v>
      </c>
      <c r="C82">
        <v>4</v>
      </c>
      <c r="D82" s="3" t="s">
        <v>344</v>
      </c>
      <c r="E82">
        <v>0</v>
      </c>
    </row>
    <row r="83" spans="1:5" x14ac:dyDescent="0.3">
      <c r="A83" s="3" t="s">
        <v>348</v>
      </c>
      <c r="B83" s="2" t="s">
        <v>220</v>
      </c>
      <c r="C83">
        <v>3</v>
      </c>
      <c r="D83" s="3" t="s">
        <v>344</v>
      </c>
      <c r="E83">
        <v>0</v>
      </c>
    </row>
    <row r="84" spans="1:5" x14ac:dyDescent="0.3">
      <c r="A84" s="3" t="s">
        <v>348</v>
      </c>
      <c r="B84" s="2" t="s">
        <v>56</v>
      </c>
      <c r="C84">
        <v>1</v>
      </c>
      <c r="D84" s="3" t="s">
        <v>343</v>
      </c>
      <c r="E84">
        <v>0</v>
      </c>
    </row>
    <row r="85" spans="1:5" x14ac:dyDescent="0.3">
      <c r="A85" s="3" t="s">
        <v>348</v>
      </c>
      <c r="B85" s="2" t="s">
        <v>147</v>
      </c>
      <c r="C85">
        <v>14</v>
      </c>
      <c r="D85" s="3" t="s">
        <v>344</v>
      </c>
      <c r="E85">
        <v>0</v>
      </c>
    </row>
    <row r="86" spans="1:5" x14ac:dyDescent="0.3">
      <c r="A86" s="3" t="s">
        <v>348</v>
      </c>
      <c r="B86" s="2" t="s">
        <v>151</v>
      </c>
      <c r="C86">
        <v>27</v>
      </c>
      <c r="D86" s="3" t="s">
        <v>344</v>
      </c>
      <c r="E86">
        <v>0</v>
      </c>
    </row>
    <row r="87" spans="1:5" x14ac:dyDescent="0.3">
      <c r="A87" s="3" t="s">
        <v>348</v>
      </c>
      <c r="B87" t="s">
        <v>207</v>
      </c>
      <c r="C87">
        <v>1</v>
      </c>
      <c r="D87" s="3" t="s">
        <v>344</v>
      </c>
      <c r="E87">
        <v>0</v>
      </c>
    </row>
    <row r="88" spans="1:5" x14ac:dyDescent="0.3">
      <c r="A88" s="3" t="s">
        <v>348</v>
      </c>
      <c r="B88" s="3" t="s">
        <v>333</v>
      </c>
      <c r="C88" s="3">
        <v>44</v>
      </c>
      <c r="D88" s="3" t="s">
        <v>344</v>
      </c>
      <c r="E88">
        <v>0</v>
      </c>
    </row>
    <row r="89" spans="1:5" x14ac:dyDescent="0.3">
      <c r="A89" s="3" t="s">
        <v>348</v>
      </c>
      <c r="B89" s="3" t="s">
        <v>333</v>
      </c>
      <c r="C89" s="3">
        <v>8</v>
      </c>
      <c r="D89" s="3" t="s">
        <v>157</v>
      </c>
      <c r="E89">
        <v>0</v>
      </c>
    </row>
    <row r="90" spans="1:5" x14ac:dyDescent="0.3">
      <c r="A90" s="3" t="s">
        <v>348</v>
      </c>
      <c r="B90" s="2" t="s">
        <v>21</v>
      </c>
      <c r="C90">
        <v>2</v>
      </c>
      <c r="D90" s="3" t="s">
        <v>344</v>
      </c>
      <c r="E90">
        <v>0</v>
      </c>
    </row>
    <row r="91" spans="1:5" x14ac:dyDescent="0.3">
      <c r="A91" s="3" t="s">
        <v>348</v>
      </c>
      <c r="B91" s="2" t="s">
        <v>170</v>
      </c>
      <c r="C91">
        <v>1</v>
      </c>
      <c r="D91" s="3" t="s">
        <v>344</v>
      </c>
      <c r="E91">
        <v>0</v>
      </c>
    </row>
    <row r="92" spans="1:5" x14ac:dyDescent="0.3">
      <c r="A92" s="3" t="s">
        <v>348</v>
      </c>
      <c r="B92" s="2" t="s">
        <v>20</v>
      </c>
      <c r="C92">
        <v>18</v>
      </c>
      <c r="D92" s="3" t="s">
        <v>344</v>
      </c>
      <c r="E92">
        <v>0</v>
      </c>
    </row>
    <row r="93" spans="1:5" x14ac:dyDescent="0.3">
      <c r="A93" s="3" t="s">
        <v>348</v>
      </c>
      <c r="B93" s="2" t="s">
        <v>138</v>
      </c>
      <c r="C93">
        <v>10</v>
      </c>
      <c r="D93" s="3" t="s">
        <v>344</v>
      </c>
      <c r="E93">
        <v>0</v>
      </c>
    </row>
    <row r="94" spans="1:5" x14ac:dyDescent="0.3">
      <c r="A94" s="3" t="s">
        <v>348</v>
      </c>
      <c r="B94" s="2" t="s">
        <v>103</v>
      </c>
      <c r="C94">
        <v>1</v>
      </c>
      <c r="D94" s="3" t="s">
        <v>344</v>
      </c>
      <c r="E94">
        <v>0</v>
      </c>
    </row>
    <row r="95" spans="1:5" x14ac:dyDescent="0.3">
      <c r="A95" s="3" t="s">
        <v>348</v>
      </c>
      <c r="B95" s="2" t="s">
        <v>265</v>
      </c>
      <c r="C95">
        <v>4</v>
      </c>
      <c r="D95" s="3" t="s">
        <v>344</v>
      </c>
      <c r="E95">
        <v>0</v>
      </c>
    </row>
    <row r="96" spans="1:5" x14ac:dyDescent="0.3">
      <c r="A96" s="3" t="s">
        <v>348</v>
      </c>
      <c r="B96" s="2" t="s">
        <v>120</v>
      </c>
      <c r="C96">
        <v>7</v>
      </c>
      <c r="D96" s="3" t="s">
        <v>344</v>
      </c>
      <c r="E96">
        <v>0</v>
      </c>
    </row>
    <row r="97" spans="1:6" x14ac:dyDescent="0.3">
      <c r="A97" s="3" t="s">
        <v>348</v>
      </c>
      <c r="B97" s="2" t="s">
        <v>82</v>
      </c>
      <c r="C97">
        <v>8</v>
      </c>
      <c r="D97" s="3" t="s">
        <v>344</v>
      </c>
      <c r="E97">
        <v>0</v>
      </c>
    </row>
    <row r="98" spans="1:6" x14ac:dyDescent="0.3">
      <c r="A98" s="3" t="s">
        <v>348</v>
      </c>
      <c r="B98" s="2" t="s">
        <v>32</v>
      </c>
      <c r="C98">
        <v>1</v>
      </c>
      <c r="D98" s="3" t="s">
        <v>343</v>
      </c>
      <c r="E98">
        <v>0</v>
      </c>
    </row>
    <row r="99" spans="1:6" x14ac:dyDescent="0.3">
      <c r="A99" s="3" t="s">
        <v>348</v>
      </c>
      <c r="B99" s="2" t="s">
        <v>85</v>
      </c>
      <c r="C99">
        <v>4</v>
      </c>
      <c r="D99" s="3" t="s">
        <v>344</v>
      </c>
      <c r="E99">
        <v>0</v>
      </c>
    </row>
    <row r="100" spans="1:6" x14ac:dyDescent="0.3">
      <c r="A100" s="3" t="s">
        <v>348</v>
      </c>
      <c r="B100" s="2" t="s">
        <v>9</v>
      </c>
      <c r="C100">
        <v>28</v>
      </c>
      <c r="D100" s="3" t="s">
        <v>344</v>
      </c>
      <c r="E100">
        <v>0</v>
      </c>
    </row>
    <row r="101" spans="1:6" x14ac:dyDescent="0.3">
      <c r="A101" s="3" t="s">
        <v>348</v>
      </c>
      <c r="B101" s="2" t="s">
        <v>196</v>
      </c>
      <c r="C101">
        <v>10</v>
      </c>
      <c r="D101" s="3" t="s">
        <v>344</v>
      </c>
      <c r="E101">
        <v>0</v>
      </c>
    </row>
    <row r="102" spans="1:6" x14ac:dyDescent="0.3">
      <c r="A102" s="3" t="s">
        <v>348</v>
      </c>
      <c r="B102" s="2" t="s">
        <v>77</v>
      </c>
      <c r="C102">
        <v>1</v>
      </c>
      <c r="D102" s="3" t="s">
        <v>344</v>
      </c>
      <c r="E102">
        <v>0</v>
      </c>
      <c r="F102" s="3" t="s">
        <v>263</v>
      </c>
    </row>
    <row r="103" spans="1:6" x14ac:dyDescent="0.3">
      <c r="A103" s="3" t="s">
        <v>348</v>
      </c>
      <c r="B103" s="2" t="s">
        <v>16</v>
      </c>
      <c r="C103">
        <v>5</v>
      </c>
      <c r="D103" s="3" t="s">
        <v>344</v>
      </c>
      <c r="E103">
        <v>0</v>
      </c>
    </row>
    <row r="104" spans="1:6" x14ac:dyDescent="0.3">
      <c r="A104" s="3" t="s">
        <v>348</v>
      </c>
      <c r="B104" s="2" t="s">
        <v>206</v>
      </c>
      <c r="C104">
        <v>17</v>
      </c>
      <c r="D104" s="3" t="s">
        <v>344</v>
      </c>
      <c r="E104">
        <v>0</v>
      </c>
    </row>
    <row r="105" spans="1:6" x14ac:dyDescent="0.3">
      <c r="A105" s="3" t="s">
        <v>348</v>
      </c>
      <c r="B105" s="2" t="s">
        <v>105</v>
      </c>
      <c r="C105">
        <v>2</v>
      </c>
      <c r="D105" s="3" t="s">
        <v>344</v>
      </c>
      <c r="E105">
        <v>0</v>
      </c>
    </row>
    <row r="106" spans="1:6" x14ac:dyDescent="0.3">
      <c r="A106" s="3" t="s">
        <v>348</v>
      </c>
      <c r="B106" s="2" t="s">
        <v>136</v>
      </c>
      <c r="C106">
        <v>1</v>
      </c>
      <c r="D106" s="3" t="s">
        <v>344</v>
      </c>
      <c r="E106">
        <v>0</v>
      </c>
    </row>
    <row r="107" spans="1:6" x14ac:dyDescent="0.3">
      <c r="A107" s="3" t="s">
        <v>348</v>
      </c>
      <c r="B107" s="2" t="s">
        <v>136</v>
      </c>
      <c r="C107">
        <v>1</v>
      </c>
      <c r="D107" s="3" t="s">
        <v>157</v>
      </c>
      <c r="E107">
        <v>0</v>
      </c>
    </row>
    <row r="108" spans="1:6" x14ac:dyDescent="0.3">
      <c r="A108" s="3" t="s">
        <v>348</v>
      </c>
      <c r="B108" t="s">
        <v>71</v>
      </c>
      <c r="C108">
        <v>10</v>
      </c>
      <c r="D108" s="3" t="s">
        <v>343</v>
      </c>
      <c r="E108">
        <v>0</v>
      </c>
    </row>
    <row r="109" spans="1:6" x14ac:dyDescent="0.3">
      <c r="A109" s="3" t="s">
        <v>348</v>
      </c>
      <c r="B109" s="2" t="s">
        <v>104</v>
      </c>
      <c r="C109">
        <v>7</v>
      </c>
      <c r="D109" s="3" t="s">
        <v>344</v>
      </c>
      <c r="E109">
        <v>0</v>
      </c>
    </row>
    <row r="110" spans="1:6" x14ac:dyDescent="0.3">
      <c r="A110" s="3" t="s">
        <v>348</v>
      </c>
      <c r="B110" s="2" t="s">
        <v>104</v>
      </c>
      <c r="C110">
        <v>2</v>
      </c>
      <c r="D110" s="3" t="s">
        <v>224</v>
      </c>
      <c r="E110">
        <v>0</v>
      </c>
    </row>
    <row r="111" spans="1:6" x14ac:dyDescent="0.3">
      <c r="A111" s="3" t="s">
        <v>348</v>
      </c>
      <c r="B111" s="2" t="s">
        <v>153</v>
      </c>
      <c r="C111">
        <v>8</v>
      </c>
      <c r="D111" s="3" t="s">
        <v>344</v>
      </c>
      <c r="E111">
        <v>0</v>
      </c>
    </row>
    <row r="112" spans="1:6" x14ac:dyDescent="0.3">
      <c r="A112" s="3" t="s">
        <v>348</v>
      </c>
      <c r="B112" s="2" t="s">
        <v>153</v>
      </c>
      <c r="C112">
        <v>4</v>
      </c>
      <c r="D112" s="3" t="s">
        <v>224</v>
      </c>
      <c r="E112">
        <v>0</v>
      </c>
    </row>
    <row r="113" spans="1:8" x14ac:dyDescent="0.3">
      <c r="A113" s="3" t="s">
        <v>348</v>
      </c>
      <c r="B113" s="3" t="s">
        <v>310</v>
      </c>
      <c r="C113" s="3">
        <v>76</v>
      </c>
      <c r="D113" s="3" t="s">
        <v>344</v>
      </c>
      <c r="E113">
        <v>0</v>
      </c>
    </row>
    <row r="114" spans="1:8" x14ac:dyDescent="0.3">
      <c r="A114" s="3" t="s">
        <v>348</v>
      </c>
      <c r="B114" s="3" t="s">
        <v>310</v>
      </c>
      <c r="C114" s="3">
        <v>7</v>
      </c>
      <c r="D114" s="3" t="s">
        <v>157</v>
      </c>
      <c r="E114">
        <v>0</v>
      </c>
    </row>
    <row r="115" spans="1:8" x14ac:dyDescent="0.3">
      <c r="A115" s="3" t="s">
        <v>348</v>
      </c>
      <c r="B115" t="s">
        <v>72</v>
      </c>
      <c r="C115">
        <v>25</v>
      </c>
      <c r="D115" s="3" t="s">
        <v>343</v>
      </c>
      <c r="E115">
        <v>0</v>
      </c>
    </row>
    <row r="116" spans="1:8" x14ac:dyDescent="0.3">
      <c r="A116" s="3" t="s">
        <v>348</v>
      </c>
      <c r="B116" s="2" t="s">
        <v>114</v>
      </c>
      <c r="C116">
        <v>26</v>
      </c>
      <c r="D116" s="3" t="s">
        <v>344</v>
      </c>
      <c r="E116">
        <v>0</v>
      </c>
    </row>
    <row r="117" spans="1:8" x14ac:dyDescent="0.3">
      <c r="A117" s="3" t="s">
        <v>348</v>
      </c>
      <c r="B117" s="2" t="s">
        <v>175</v>
      </c>
      <c r="C117">
        <v>2</v>
      </c>
      <c r="D117" s="3" t="s">
        <v>344</v>
      </c>
      <c r="E117">
        <v>0</v>
      </c>
    </row>
    <row r="118" spans="1:8" x14ac:dyDescent="0.3">
      <c r="A118" s="3" t="s">
        <v>348</v>
      </c>
      <c r="B118" s="2" t="s">
        <v>149</v>
      </c>
      <c r="C118">
        <v>1</v>
      </c>
      <c r="D118" s="3" t="s">
        <v>344</v>
      </c>
      <c r="E118">
        <v>0</v>
      </c>
    </row>
    <row r="119" spans="1:8" x14ac:dyDescent="0.3">
      <c r="A119" s="3" t="s">
        <v>348</v>
      </c>
      <c r="B119" s="2" t="s">
        <v>39</v>
      </c>
      <c r="C119">
        <v>4</v>
      </c>
      <c r="D119" s="3" t="s">
        <v>344</v>
      </c>
      <c r="E119">
        <v>0</v>
      </c>
    </row>
    <row r="120" spans="1:8" x14ac:dyDescent="0.3">
      <c r="A120" s="3" t="s">
        <v>348</v>
      </c>
      <c r="B120" s="2" t="s">
        <v>34</v>
      </c>
      <c r="C120">
        <v>1</v>
      </c>
      <c r="D120" s="3" t="s">
        <v>343</v>
      </c>
      <c r="E120">
        <v>0</v>
      </c>
    </row>
    <row r="121" spans="1:8" x14ac:dyDescent="0.3">
      <c r="A121" s="3" t="s">
        <v>348</v>
      </c>
      <c r="B121" s="2" t="s">
        <v>49</v>
      </c>
      <c r="C121">
        <v>2</v>
      </c>
      <c r="D121" s="3" t="s">
        <v>344</v>
      </c>
      <c r="E121">
        <v>0</v>
      </c>
    </row>
    <row r="122" spans="1:8" x14ac:dyDescent="0.3">
      <c r="A122" s="3" t="s">
        <v>348</v>
      </c>
      <c r="B122" s="3" t="s">
        <v>334</v>
      </c>
      <c r="C122" s="3">
        <v>19</v>
      </c>
      <c r="D122" s="3" t="s">
        <v>344</v>
      </c>
      <c r="E122">
        <v>0</v>
      </c>
    </row>
    <row r="123" spans="1:8" x14ac:dyDescent="0.3">
      <c r="A123" s="3" t="s">
        <v>348</v>
      </c>
      <c r="B123" s="2" t="s">
        <v>35</v>
      </c>
      <c r="C123">
        <v>16</v>
      </c>
      <c r="D123" s="3" t="s">
        <v>343</v>
      </c>
      <c r="E123">
        <v>0</v>
      </c>
    </row>
    <row r="124" spans="1:8" x14ac:dyDescent="0.3">
      <c r="A124" s="3" t="s">
        <v>348</v>
      </c>
      <c r="B124" s="2" t="s">
        <v>144</v>
      </c>
      <c r="C124">
        <v>1</v>
      </c>
      <c r="D124" s="3" t="s">
        <v>343</v>
      </c>
      <c r="E124">
        <v>0</v>
      </c>
    </row>
    <row r="125" spans="1:8" x14ac:dyDescent="0.3">
      <c r="A125" s="3" t="s">
        <v>348</v>
      </c>
      <c r="B125" s="2" t="s">
        <v>36</v>
      </c>
      <c r="C125">
        <v>1</v>
      </c>
      <c r="D125" s="3" t="s">
        <v>157</v>
      </c>
      <c r="E125">
        <v>0</v>
      </c>
      <c r="G125">
        <f>SUM(C$80:C$126)</f>
        <v>440</v>
      </c>
      <c r="H125">
        <v>440</v>
      </c>
    </row>
    <row r="126" spans="1:8" x14ac:dyDescent="0.3">
      <c r="A126" s="3" t="s">
        <v>348</v>
      </c>
      <c r="B126" s="2" t="s">
        <v>125</v>
      </c>
      <c r="C126">
        <v>2</v>
      </c>
      <c r="D126" s="3" t="s">
        <v>344</v>
      </c>
      <c r="E126">
        <v>0</v>
      </c>
      <c r="G126">
        <f>COUNT(C$80:C$126)</f>
        <v>47</v>
      </c>
      <c r="H126">
        <v>42</v>
      </c>
    </row>
    <row r="127" spans="1:8" x14ac:dyDescent="0.3">
      <c r="A127" s="3" t="s">
        <v>349</v>
      </c>
      <c r="B127" s="2" t="s">
        <v>152</v>
      </c>
      <c r="C127">
        <v>3</v>
      </c>
      <c r="D127" s="3" t="s">
        <v>344</v>
      </c>
      <c r="E127">
        <v>0</v>
      </c>
    </row>
    <row r="128" spans="1:8" x14ac:dyDescent="0.3">
      <c r="A128" s="3" t="s">
        <v>349</v>
      </c>
      <c r="B128" s="2" t="s">
        <v>178</v>
      </c>
      <c r="C128">
        <v>1</v>
      </c>
      <c r="D128" s="3" t="s">
        <v>344</v>
      </c>
      <c r="E128">
        <v>0</v>
      </c>
    </row>
    <row r="129" spans="1:6" x14ac:dyDescent="0.3">
      <c r="A129" s="3" t="s">
        <v>349</v>
      </c>
      <c r="B129" s="2" t="s">
        <v>30</v>
      </c>
      <c r="C129">
        <v>4</v>
      </c>
      <c r="D129" s="3" t="s">
        <v>344</v>
      </c>
      <c r="E129">
        <v>0</v>
      </c>
    </row>
    <row r="130" spans="1:6" x14ac:dyDescent="0.3">
      <c r="A130" s="3" t="s">
        <v>349</v>
      </c>
      <c r="B130" s="2" t="s">
        <v>220</v>
      </c>
      <c r="C130">
        <v>3</v>
      </c>
      <c r="D130" s="3" t="s">
        <v>344</v>
      </c>
      <c r="E130">
        <v>0</v>
      </c>
    </row>
    <row r="131" spans="1:6" x14ac:dyDescent="0.3">
      <c r="A131" s="3" t="s">
        <v>349</v>
      </c>
      <c r="B131" s="2" t="s">
        <v>147</v>
      </c>
      <c r="C131">
        <v>20</v>
      </c>
      <c r="D131" s="3" t="s">
        <v>344</v>
      </c>
      <c r="E131">
        <v>0</v>
      </c>
    </row>
    <row r="132" spans="1:6" x14ac:dyDescent="0.3">
      <c r="A132" s="3" t="s">
        <v>349</v>
      </c>
      <c r="B132" s="2" t="s">
        <v>98</v>
      </c>
      <c r="C132">
        <v>7</v>
      </c>
      <c r="D132" s="3" t="s">
        <v>344</v>
      </c>
      <c r="E132">
        <v>0</v>
      </c>
    </row>
    <row r="133" spans="1:6" x14ac:dyDescent="0.3">
      <c r="A133" s="3" t="s">
        <v>349</v>
      </c>
      <c r="B133" s="2" t="s">
        <v>151</v>
      </c>
      <c r="C133">
        <v>6</v>
      </c>
      <c r="D133" s="3" t="s">
        <v>344</v>
      </c>
      <c r="E133">
        <v>0</v>
      </c>
    </row>
    <row r="134" spans="1:6" x14ac:dyDescent="0.3">
      <c r="A134" s="3" t="s">
        <v>349</v>
      </c>
      <c r="B134" s="3" t="s">
        <v>333</v>
      </c>
      <c r="C134" s="3">
        <v>68</v>
      </c>
      <c r="D134" s="3" t="s">
        <v>344</v>
      </c>
      <c r="E134">
        <v>0</v>
      </c>
    </row>
    <row r="135" spans="1:6" x14ac:dyDescent="0.3">
      <c r="A135" s="3" t="s">
        <v>349</v>
      </c>
      <c r="B135" s="3" t="s">
        <v>333</v>
      </c>
      <c r="C135" s="3">
        <v>6</v>
      </c>
      <c r="D135" s="3" t="s">
        <v>157</v>
      </c>
      <c r="E135">
        <v>0</v>
      </c>
    </row>
    <row r="136" spans="1:6" x14ac:dyDescent="0.3">
      <c r="A136" s="3" t="s">
        <v>349</v>
      </c>
      <c r="B136" t="s">
        <v>41</v>
      </c>
      <c r="C136">
        <v>2</v>
      </c>
      <c r="D136" s="3" t="s">
        <v>344</v>
      </c>
      <c r="E136">
        <v>1</v>
      </c>
      <c r="F136" s="3" t="s">
        <v>269</v>
      </c>
    </row>
    <row r="137" spans="1:6" x14ac:dyDescent="0.3">
      <c r="A137" s="3" t="s">
        <v>349</v>
      </c>
      <c r="B137" s="2" t="s">
        <v>137</v>
      </c>
      <c r="C137">
        <v>1</v>
      </c>
      <c r="D137" s="3" t="s">
        <v>344</v>
      </c>
      <c r="E137">
        <v>0</v>
      </c>
    </row>
    <row r="138" spans="1:6" x14ac:dyDescent="0.3">
      <c r="A138" s="3" t="s">
        <v>349</v>
      </c>
      <c r="B138" s="2" t="s">
        <v>20</v>
      </c>
      <c r="C138">
        <v>4</v>
      </c>
      <c r="D138" s="3" t="s">
        <v>344</v>
      </c>
      <c r="E138">
        <v>0</v>
      </c>
    </row>
    <row r="139" spans="1:6" x14ac:dyDescent="0.3">
      <c r="A139" s="3" t="s">
        <v>349</v>
      </c>
      <c r="B139" s="2" t="s">
        <v>5</v>
      </c>
      <c r="C139">
        <v>1</v>
      </c>
      <c r="D139" s="3" t="s">
        <v>344</v>
      </c>
      <c r="E139">
        <v>0</v>
      </c>
    </row>
    <row r="140" spans="1:6" x14ac:dyDescent="0.3">
      <c r="A140" s="3" t="s">
        <v>349</v>
      </c>
      <c r="B140" s="2" t="s">
        <v>268</v>
      </c>
      <c r="C140">
        <v>1</v>
      </c>
      <c r="D140" s="3" t="s">
        <v>344</v>
      </c>
      <c r="E140">
        <v>0</v>
      </c>
    </row>
    <row r="141" spans="1:6" x14ac:dyDescent="0.3">
      <c r="A141" s="3" t="s">
        <v>349</v>
      </c>
      <c r="B141" s="2" t="s">
        <v>148</v>
      </c>
      <c r="C141">
        <v>1</v>
      </c>
      <c r="D141" s="3" t="s">
        <v>344</v>
      </c>
      <c r="E141">
        <v>0</v>
      </c>
      <c r="F141" t="s">
        <v>133</v>
      </c>
    </row>
    <row r="142" spans="1:6" x14ac:dyDescent="0.3">
      <c r="A142" s="3" t="s">
        <v>349</v>
      </c>
      <c r="B142" s="2" t="s">
        <v>106</v>
      </c>
      <c r="C142">
        <v>1</v>
      </c>
      <c r="D142" s="3" t="s">
        <v>344</v>
      </c>
      <c r="E142">
        <v>0</v>
      </c>
    </row>
    <row r="143" spans="1:6" x14ac:dyDescent="0.3">
      <c r="A143" s="3" t="s">
        <v>349</v>
      </c>
      <c r="B143" s="2" t="s">
        <v>265</v>
      </c>
      <c r="C143">
        <v>1</v>
      </c>
      <c r="D143" s="3" t="s">
        <v>344</v>
      </c>
      <c r="E143">
        <v>0</v>
      </c>
    </row>
    <row r="144" spans="1:6" x14ac:dyDescent="0.3">
      <c r="A144" s="3" t="s">
        <v>349</v>
      </c>
      <c r="B144" s="2" t="s">
        <v>120</v>
      </c>
      <c r="C144">
        <v>6</v>
      </c>
      <c r="D144" s="3" t="s">
        <v>344</v>
      </c>
      <c r="E144">
        <v>0</v>
      </c>
    </row>
    <row r="145" spans="1:5" x14ac:dyDescent="0.3">
      <c r="A145" s="3" t="s">
        <v>349</v>
      </c>
      <c r="B145" s="2" t="s">
        <v>82</v>
      </c>
      <c r="C145">
        <v>26</v>
      </c>
      <c r="D145" s="3" t="s">
        <v>344</v>
      </c>
      <c r="E145">
        <v>0</v>
      </c>
    </row>
    <row r="146" spans="1:5" x14ac:dyDescent="0.3">
      <c r="A146" s="3" t="s">
        <v>349</v>
      </c>
      <c r="B146" s="2" t="s">
        <v>82</v>
      </c>
      <c r="C146">
        <v>2</v>
      </c>
      <c r="D146" s="3" t="s">
        <v>157</v>
      </c>
      <c r="E146">
        <v>0</v>
      </c>
    </row>
    <row r="147" spans="1:5" x14ac:dyDescent="0.3">
      <c r="A147" s="3" t="s">
        <v>349</v>
      </c>
      <c r="B147" s="2" t="s">
        <v>32</v>
      </c>
      <c r="C147">
        <v>1</v>
      </c>
      <c r="D147" s="3" t="s">
        <v>343</v>
      </c>
      <c r="E147">
        <v>0</v>
      </c>
    </row>
    <row r="148" spans="1:5" x14ac:dyDescent="0.3">
      <c r="A148" s="3" t="s">
        <v>349</v>
      </c>
      <c r="B148" s="2" t="s">
        <v>85</v>
      </c>
      <c r="C148">
        <v>8</v>
      </c>
      <c r="D148" s="3" t="s">
        <v>344</v>
      </c>
      <c r="E148">
        <v>0</v>
      </c>
    </row>
    <row r="149" spans="1:5" x14ac:dyDescent="0.3">
      <c r="A149" s="3" t="s">
        <v>349</v>
      </c>
      <c r="B149" s="2" t="s">
        <v>9</v>
      </c>
      <c r="C149">
        <v>36</v>
      </c>
      <c r="D149" s="3" t="s">
        <v>344</v>
      </c>
      <c r="E149">
        <v>0</v>
      </c>
    </row>
    <row r="150" spans="1:5" x14ac:dyDescent="0.3">
      <c r="A150" s="3" t="s">
        <v>349</v>
      </c>
      <c r="B150" s="2" t="s">
        <v>196</v>
      </c>
      <c r="C150">
        <v>2</v>
      </c>
      <c r="D150" s="3" t="s">
        <v>344</v>
      </c>
      <c r="E150">
        <v>0</v>
      </c>
    </row>
    <row r="151" spans="1:5" x14ac:dyDescent="0.3">
      <c r="A151" s="3" t="s">
        <v>349</v>
      </c>
      <c r="B151" s="2" t="s">
        <v>16</v>
      </c>
      <c r="C151">
        <v>15</v>
      </c>
      <c r="D151" s="3" t="s">
        <v>344</v>
      </c>
      <c r="E151">
        <v>0</v>
      </c>
    </row>
    <row r="152" spans="1:5" x14ac:dyDescent="0.3">
      <c r="A152" s="3" t="s">
        <v>349</v>
      </c>
      <c r="B152" s="2" t="s">
        <v>206</v>
      </c>
      <c r="C152">
        <v>8</v>
      </c>
      <c r="D152" s="3" t="s">
        <v>344</v>
      </c>
      <c r="E152">
        <v>0</v>
      </c>
    </row>
    <row r="153" spans="1:5" x14ac:dyDescent="0.3">
      <c r="A153" s="3" t="s">
        <v>349</v>
      </c>
      <c r="B153" s="2" t="s">
        <v>105</v>
      </c>
      <c r="C153">
        <v>1</v>
      </c>
      <c r="D153" s="3" t="s">
        <v>344</v>
      </c>
      <c r="E153">
        <v>0</v>
      </c>
    </row>
    <row r="154" spans="1:5" x14ac:dyDescent="0.3">
      <c r="A154" s="3" t="s">
        <v>349</v>
      </c>
      <c r="B154" s="2" t="s">
        <v>136</v>
      </c>
      <c r="C154">
        <v>2</v>
      </c>
      <c r="D154" s="3" t="s">
        <v>344</v>
      </c>
      <c r="E154">
        <v>0</v>
      </c>
    </row>
    <row r="155" spans="1:5" x14ac:dyDescent="0.3">
      <c r="A155" s="3" t="s">
        <v>349</v>
      </c>
      <c r="B155" s="2" t="s">
        <v>202</v>
      </c>
      <c r="C155">
        <v>1</v>
      </c>
      <c r="D155" s="3" t="s">
        <v>344</v>
      </c>
      <c r="E155">
        <v>0</v>
      </c>
    </row>
    <row r="156" spans="1:5" x14ac:dyDescent="0.3">
      <c r="A156" s="3" t="s">
        <v>349</v>
      </c>
      <c r="B156" t="s">
        <v>71</v>
      </c>
      <c r="C156">
        <v>23</v>
      </c>
      <c r="D156" s="3" t="s">
        <v>343</v>
      </c>
      <c r="E156">
        <v>0</v>
      </c>
    </row>
    <row r="157" spans="1:5" x14ac:dyDescent="0.3">
      <c r="A157" s="3" t="s">
        <v>349</v>
      </c>
      <c r="B157" s="2" t="s">
        <v>104</v>
      </c>
      <c r="C157">
        <v>34</v>
      </c>
      <c r="D157" s="3" t="s">
        <v>344</v>
      </c>
      <c r="E157">
        <v>0</v>
      </c>
    </row>
    <row r="158" spans="1:5" x14ac:dyDescent="0.3">
      <c r="A158" s="3" t="s">
        <v>349</v>
      </c>
      <c r="B158" s="2" t="s">
        <v>153</v>
      </c>
      <c r="C158">
        <v>1</v>
      </c>
      <c r="D158" s="3" t="s">
        <v>344</v>
      </c>
      <c r="E158">
        <v>0</v>
      </c>
    </row>
    <row r="159" spans="1:5" x14ac:dyDescent="0.3">
      <c r="A159" s="3" t="s">
        <v>349</v>
      </c>
      <c r="B159" s="3" t="s">
        <v>310</v>
      </c>
      <c r="C159" s="3">
        <v>152</v>
      </c>
      <c r="D159" s="3" t="s">
        <v>344</v>
      </c>
      <c r="E159">
        <v>0</v>
      </c>
    </row>
    <row r="160" spans="1:5" x14ac:dyDescent="0.3">
      <c r="A160" s="3" t="s">
        <v>349</v>
      </c>
      <c r="B160" s="3" t="s">
        <v>310</v>
      </c>
      <c r="C160" s="3">
        <v>7</v>
      </c>
      <c r="D160" s="3" t="s">
        <v>157</v>
      </c>
      <c r="E160">
        <v>0</v>
      </c>
    </row>
    <row r="161" spans="1:8" x14ac:dyDescent="0.3">
      <c r="A161" s="3" t="s">
        <v>349</v>
      </c>
      <c r="B161" t="s">
        <v>72</v>
      </c>
      <c r="C161">
        <v>26</v>
      </c>
      <c r="D161" s="3" t="s">
        <v>343</v>
      </c>
      <c r="E161">
        <v>0</v>
      </c>
    </row>
    <row r="162" spans="1:8" x14ac:dyDescent="0.3">
      <c r="A162" s="3" t="s">
        <v>349</v>
      </c>
      <c r="B162" s="2" t="s">
        <v>114</v>
      </c>
      <c r="C162">
        <v>9</v>
      </c>
      <c r="D162" s="3" t="s">
        <v>344</v>
      </c>
      <c r="E162">
        <v>0</v>
      </c>
    </row>
    <row r="163" spans="1:8" x14ac:dyDescent="0.3">
      <c r="A163" s="3" t="s">
        <v>349</v>
      </c>
      <c r="B163" s="2" t="s">
        <v>149</v>
      </c>
      <c r="C163">
        <v>2</v>
      </c>
      <c r="D163" s="3" t="s">
        <v>344</v>
      </c>
      <c r="E163">
        <v>0</v>
      </c>
    </row>
    <row r="164" spans="1:8" x14ac:dyDescent="0.3">
      <c r="A164" s="3" t="s">
        <v>349</v>
      </c>
      <c r="B164" s="2" t="s">
        <v>39</v>
      </c>
      <c r="C164">
        <v>3</v>
      </c>
      <c r="D164" s="3" t="s">
        <v>344</v>
      </c>
      <c r="E164">
        <v>0</v>
      </c>
    </row>
    <row r="165" spans="1:8" x14ac:dyDescent="0.3">
      <c r="A165" s="3" t="s">
        <v>349</v>
      </c>
      <c r="B165" s="2" t="s">
        <v>39</v>
      </c>
      <c r="C165">
        <v>1</v>
      </c>
      <c r="D165" s="3" t="s">
        <v>157</v>
      </c>
      <c r="E165">
        <v>0</v>
      </c>
    </row>
    <row r="166" spans="1:8" x14ac:dyDescent="0.3">
      <c r="A166" s="3" t="s">
        <v>349</v>
      </c>
      <c r="B166" s="2" t="s">
        <v>65</v>
      </c>
      <c r="C166">
        <v>1</v>
      </c>
      <c r="D166" s="3" t="s">
        <v>343</v>
      </c>
      <c r="E166">
        <v>0</v>
      </c>
    </row>
    <row r="167" spans="1:8" x14ac:dyDescent="0.3">
      <c r="A167" s="3" t="s">
        <v>349</v>
      </c>
      <c r="B167" s="2" t="s">
        <v>34</v>
      </c>
      <c r="C167">
        <v>1</v>
      </c>
      <c r="D167" s="3" t="s">
        <v>343</v>
      </c>
      <c r="E167">
        <v>0</v>
      </c>
    </row>
    <row r="168" spans="1:8" x14ac:dyDescent="0.3">
      <c r="A168" s="3" t="s">
        <v>349</v>
      </c>
      <c r="B168" s="2" t="s">
        <v>49</v>
      </c>
      <c r="C168">
        <v>3</v>
      </c>
      <c r="D168" s="3" t="s">
        <v>344</v>
      </c>
      <c r="E168">
        <v>0</v>
      </c>
    </row>
    <row r="169" spans="1:8" x14ac:dyDescent="0.3">
      <c r="A169" s="3" t="s">
        <v>349</v>
      </c>
      <c r="B169" s="3" t="s">
        <v>334</v>
      </c>
      <c r="C169" s="3">
        <v>39</v>
      </c>
      <c r="D169" s="3" t="s">
        <v>344</v>
      </c>
      <c r="E169">
        <v>0</v>
      </c>
    </row>
    <row r="170" spans="1:8" x14ac:dyDescent="0.3">
      <c r="A170" s="3" t="s">
        <v>349</v>
      </c>
      <c r="B170" s="3" t="s">
        <v>334</v>
      </c>
      <c r="C170" s="3">
        <v>1</v>
      </c>
      <c r="D170" s="3" t="s">
        <v>157</v>
      </c>
      <c r="E170">
        <v>0</v>
      </c>
      <c r="G170">
        <f>SUM(C$127:C$171)</f>
        <v>542</v>
      </c>
      <c r="H170">
        <v>542</v>
      </c>
    </row>
    <row r="171" spans="1:8" x14ac:dyDescent="0.3">
      <c r="A171" s="3" t="s">
        <v>349</v>
      </c>
      <c r="B171" s="2" t="s">
        <v>35</v>
      </c>
      <c r="C171">
        <v>1</v>
      </c>
      <c r="D171" s="3" t="s">
        <v>343</v>
      </c>
      <c r="E171">
        <v>0</v>
      </c>
      <c r="G171">
        <f>COUNT(C$127:C$171)</f>
        <v>45</v>
      </c>
      <c r="H171">
        <v>40</v>
      </c>
    </row>
    <row r="172" spans="1:8" x14ac:dyDescent="0.3">
      <c r="A172" s="3" t="s">
        <v>350</v>
      </c>
      <c r="B172" s="2" t="s">
        <v>152</v>
      </c>
      <c r="C172">
        <v>5</v>
      </c>
      <c r="D172" s="3" t="s">
        <v>344</v>
      </c>
      <c r="E172">
        <v>0</v>
      </c>
    </row>
    <row r="173" spans="1:8" x14ac:dyDescent="0.3">
      <c r="A173" s="3" t="s">
        <v>350</v>
      </c>
      <c r="B173" s="2" t="s">
        <v>30</v>
      </c>
      <c r="C173">
        <v>3</v>
      </c>
      <c r="D173" s="3" t="s">
        <v>344</v>
      </c>
      <c r="E173">
        <v>0</v>
      </c>
    </row>
    <row r="174" spans="1:8" x14ac:dyDescent="0.3">
      <c r="A174" s="3" t="s">
        <v>350</v>
      </c>
      <c r="B174" s="2" t="s">
        <v>220</v>
      </c>
      <c r="C174">
        <v>3</v>
      </c>
      <c r="D174" s="3" t="s">
        <v>344</v>
      </c>
      <c r="E174">
        <v>0</v>
      </c>
    </row>
    <row r="175" spans="1:8" x14ac:dyDescent="0.3">
      <c r="A175" s="3" t="s">
        <v>350</v>
      </c>
      <c r="B175" s="2" t="s">
        <v>147</v>
      </c>
      <c r="C175">
        <v>7</v>
      </c>
      <c r="D175" s="3" t="s">
        <v>344</v>
      </c>
      <c r="E175">
        <v>0</v>
      </c>
    </row>
    <row r="176" spans="1:8" x14ac:dyDescent="0.3">
      <c r="A176" s="3" t="s">
        <v>350</v>
      </c>
      <c r="B176" s="2" t="s">
        <v>98</v>
      </c>
      <c r="C176">
        <v>3</v>
      </c>
      <c r="D176" s="3" t="s">
        <v>344</v>
      </c>
      <c r="E176">
        <v>0</v>
      </c>
    </row>
    <row r="177" spans="1:5" x14ac:dyDescent="0.3">
      <c r="A177" s="3" t="s">
        <v>350</v>
      </c>
      <c r="B177" s="2" t="s">
        <v>151</v>
      </c>
      <c r="C177">
        <v>7</v>
      </c>
      <c r="D177" s="3" t="s">
        <v>344</v>
      </c>
      <c r="E177">
        <v>0</v>
      </c>
    </row>
    <row r="178" spans="1:5" x14ac:dyDescent="0.3">
      <c r="A178" s="3" t="s">
        <v>350</v>
      </c>
      <c r="B178" s="3" t="s">
        <v>333</v>
      </c>
      <c r="C178" s="3">
        <v>35</v>
      </c>
      <c r="D178" s="3" t="s">
        <v>344</v>
      </c>
      <c r="E178">
        <v>0</v>
      </c>
    </row>
    <row r="179" spans="1:5" x14ac:dyDescent="0.3">
      <c r="A179" s="3" t="s">
        <v>350</v>
      </c>
      <c r="B179" s="2" t="s">
        <v>137</v>
      </c>
      <c r="C179">
        <v>1</v>
      </c>
      <c r="D179" s="3" t="s">
        <v>344</v>
      </c>
      <c r="E179">
        <v>0</v>
      </c>
    </row>
    <row r="180" spans="1:5" x14ac:dyDescent="0.3">
      <c r="A180" s="3" t="s">
        <v>350</v>
      </c>
      <c r="B180" s="2" t="s">
        <v>20</v>
      </c>
      <c r="C180">
        <v>6</v>
      </c>
      <c r="D180" s="3" t="s">
        <v>344</v>
      </c>
      <c r="E180">
        <v>0</v>
      </c>
    </row>
    <row r="181" spans="1:5" x14ac:dyDescent="0.3">
      <c r="A181" s="3" t="s">
        <v>350</v>
      </c>
      <c r="B181" s="2" t="s">
        <v>103</v>
      </c>
      <c r="C181">
        <v>8</v>
      </c>
      <c r="D181" s="3" t="s">
        <v>344</v>
      </c>
      <c r="E181">
        <v>0</v>
      </c>
    </row>
    <row r="182" spans="1:5" x14ac:dyDescent="0.3">
      <c r="A182" s="3" t="s">
        <v>350</v>
      </c>
      <c r="B182" s="2" t="s">
        <v>103</v>
      </c>
      <c r="C182">
        <v>3</v>
      </c>
      <c r="D182" s="3" t="s">
        <v>157</v>
      </c>
      <c r="E182">
        <v>0</v>
      </c>
    </row>
    <row r="183" spans="1:5" x14ac:dyDescent="0.3">
      <c r="A183" s="3" t="s">
        <v>350</v>
      </c>
      <c r="B183" s="2" t="s">
        <v>209</v>
      </c>
      <c r="C183">
        <v>1</v>
      </c>
      <c r="D183" s="3" t="s">
        <v>344</v>
      </c>
      <c r="E183">
        <v>0</v>
      </c>
    </row>
    <row r="184" spans="1:5" x14ac:dyDescent="0.3">
      <c r="A184" s="3" t="s">
        <v>350</v>
      </c>
      <c r="B184" s="2" t="s">
        <v>120</v>
      </c>
      <c r="C184">
        <v>15</v>
      </c>
      <c r="D184" s="3" t="s">
        <v>344</v>
      </c>
      <c r="E184">
        <v>0</v>
      </c>
    </row>
    <row r="185" spans="1:5" x14ac:dyDescent="0.3">
      <c r="A185" s="3" t="s">
        <v>350</v>
      </c>
      <c r="B185" s="2" t="s">
        <v>120</v>
      </c>
      <c r="C185">
        <v>1</v>
      </c>
      <c r="D185" s="3" t="s">
        <v>157</v>
      </c>
      <c r="E185">
        <v>0</v>
      </c>
    </row>
    <row r="186" spans="1:5" x14ac:dyDescent="0.3">
      <c r="A186" s="3" t="s">
        <v>350</v>
      </c>
      <c r="B186" s="2" t="s">
        <v>82</v>
      </c>
      <c r="C186">
        <v>8</v>
      </c>
      <c r="D186" s="3" t="s">
        <v>344</v>
      </c>
      <c r="E186">
        <v>0</v>
      </c>
    </row>
    <row r="187" spans="1:5" x14ac:dyDescent="0.3">
      <c r="A187" s="3" t="s">
        <v>350</v>
      </c>
      <c r="B187" s="2" t="s">
        <v>82</v>
      </c>
      <c r="C187">
        <v>1</v>
      </c>
      <c r="D187" s="3" t="s">
        <v>157</v>
      </c>
      <c r="E187">
        <v>0</v>
      </c>
    </row>
    <row r="188" spans="1:5" x14ac:dyDescent="0.3">
      <c r="A188" s="3" t="s">
        <v>350</v>
      </c>
      <c r="B188" s="2" t="s">
        <v>85</v>
      </c>
      <c r="C188">
        <v>4</v>
      </c>
      <c r="D188" s="3" t="s">
        <v>344</v>
      </c>
      <c r="E188">
        <v>0</v>
      </c>
    </row>
    <row r="189" spans="1:5" x14ac:dyDescent="0.3">
      <c r="A189" s="3" t="s">
        <v>350</v>
      </c>
      <c r="B189" s="2" t="s">
        <v>9</v>
      </c>
      <c r="C189">
        <v>36</v>
      </c>
      <c r="D189" s="3" t="s">
        <v>344</v>
      </c>
      <c r="E189">
        <v>0</v>
      </c>
    </row>
    <row r="190" spans="1:5" x14ac:dyDescent="0.3">
      <c r="A190" s="3" t="s">
        <v>350</v>
      </c>
      <c r="B190" s="2" t="s">
        <v>196</v>
      </c>
      <c r="C190">
        <v>1</v>
      </c>
      <c r="D190" s="3" t="s">
        <v>344</v>
      </c>
      <c r="E190">
        <v>0</v>
      </c>
    </row>
    <row r="191" spans="1:5" x14ac:dyDescent="0.3">
      <c r="A191" s="3" t="s">
        <v>350</v>
      </c>
      <c r="B191" s="2" t="s">
        <v>16</v>
      </c>
      <c r="C191">
        <v>3</v>
      </c>
      <c r="D191" s="3" t="s">
        <v>344</v>
      </c>
      <c r="E191">
        <v>0</v>
      </c>
    </row>
    <row r="192" spans="1:5" x14ac:dyDescent="0.3">
      <c r="A192" s="3" t="s">
        <v>350</v>
      </c>
      <c r="B192" s="2" t="s">
        <v>206</v>
      </c>
      <c r="C192">
        <v>13</v>
      </c>
      <c r="D192" s="3" t="s">
        <v>344</v>
      </c>
      <c r="E192">
        <v>0</v>
      </c>
    </row>
    <row r="193" spans="1:8" x14ac:dyDescent="0.3">
      <c r="A193" s="3" t="s">
        <v>350</v>
      </c>
      <c r="B193" s="2" t="s">
        <v>136</v>
      </c>
      <c r="C193">
        <v>2</v>
      </c>
      <c r="D193" s="3" t="s">
        <v>344</v>
      </c>
      <c r="E193">
        <v>0</v>
      </c>
    </row>
    <row r="194" spans="1:8" x14ac:dyDescent="0.3">
      <c r="A194" s="3" t="s">
        <v>350</v>
      </c>
      <c r="B194" s="2" t="s">
        <v>136</v>
      </c>
      <c r="C194">
        <v>5</v>
      </c>
      <c r="D194" s="3" t="s">
        <v>157</v>
      </c>
      <c r="E194">
        <v>0</v>
      </c>
      <c r="F194" s="3" t="s">
        <v>351</v>
      </c>
    </row>
    <row r="195" spans="1:8" x14ac:dyDescent="0.3">
      <c r="A195" s="3" t="s">
        <v>350</v>
      </c>
      <c r="B195" t="s">
        <v>71</v>
      </c>
      <c r="C195">
        <v>3</v>
      </c>
      <c r="D195" s="3" t="s">
        <v>343</v>
      </c>
      <c r="E195">
        <v>0</v>
      </c>
    </row>
    <row r="196" spans="1:8" x14ac:dyDescent="0.3">
      <c r="A196" s="3" t="s">
        <v>350</v>
      </c>
      <c r="B196" s="2" t="s">
        <v>104</v>
      </c>
      <c r="C196">
        <v>14</v>
      </c>
      <c r="D196" s="3" t="s">
        <v>344</v>
      </c>
      <c r="E196">
        <v>0</v>
      </c>
    </row>
    <row r="197" spans="1:8" x14ac:dyDescent="0.3">
      <c r="A197" s="3" t="s">
        <v>350</v>
      </c>
      <c r="B197" s="2" t="s">
        <v>104</v>
      </c>
      <c r="C197">
        <v>2</v>
      </c>
      <c r="D197" s="3" t="s">
        <v>224</v>
      </c>
      <c r="E197">
        <v>0</v>
      </c>
    </row>
    <row r="198" spans="1:8" x14ac:dyDescent="0.3">
      <c r="A198" s="3" t="s">
        <v>350</v>
      </c>
      <c r="B198" s="3" t="s">
        <v>310</v>
      </c>
      <c r="C198" s="3">
        <v>51</v>
      </c>
      <c r="D198" s="3" t="s">
        <v>344</v>
      </c>
      <c r="E198">
        <v>0</v>
      </c>
    </row>
    <row r="199" spans="1:8" x14ac:dyDescent="0.3">
      <c r="A199" s="3" t="s">
        <v>350</v>
      </c>
      <c r="B199" s="3" t="s">
        <v>310</v>
      </c>
      <c r="C199" s="3">
        <v>7</v>
      </c>
      <c r="D199" s="3" t="s">
        <v>157</v>
      </c>
      <c r="E199">
        <v>0</v>
      </c>
    </row>
    <row r="200" spans="1:8" x14ac:dyDescent="0.3">
      <c r="A200" s="3" t="s">
        <v>350</v>
      </c>
      <c r="B200" t="s">
        <v>72</v>
      </c>
      <c r="C200">
        <v>6</v>
      </c>
      <c r="D200" s="3" t="s">
        <v>343</v>
      </c>
      <c r="E200">
        <v>0</v>
      </c>
    </row>
    <row r="201" spans="1:8" x14ac:dyDescent="0.3">
      <c r="A201" s="3" t="s">
        <v>350</v>
      </c>
      <c r="B201" s="2" t="s">
        <v>114</v>
      </c>
      <c r="C201">
        <v>9</v>
      </c>
      <c r="D201" s="3" t="s">
        <v>344</v>
      </c>
      <c r="E201">
        <v>0</v>
      </c>
    </row>
    <row r="202" spans="1:8" x14ac:dyDescent="0.3">
      <c r="A202" s="3" t="s">
        <v>350</v>
      </c>
      <c r="B202" s="2" t="s">
        <v>175</v>
      </c>
      <c r="C202">
        <v>1</v>
      </c>
      <c r="D202" s="3" t="s">
        <v>344</v>
      </c>
      <c r="E202">
        <v>0</v>
      </c>
    </row>
    <row r="203" spans="1:8" x14ac:dyDescent="0.3">
      <c r="A203" s="3" t="s">
        <v>350</v>
      </c>
      <c r="B203" s="2" t="s">
        <v>39</v>
      </c>
      <c r="C203">
        <v>1</v>
      </c>
      <c r="D203" s="3" t="s">
        <v>344</v>
      </c>
      <c r="E203">
        <v>0</v>
      </c>
    </row>
    <row r="204" spans="1:8" x14ac:dyDescent="0.3">
      <c r="A204" s="3" t="s">
        <v>350</v>
      </c>
      <c r="B204" s="2" t="s">
        <v>65</v>
      </c>
      <c r="C204">
        <v>1</v>
      </c>
      <c r="D204" s="3" t="s">
        <v>343</v>
      </c>
      <c r="E204">
        <v>0</v>
      </c>
      <c r="F204" s="2" t="s">
        <v>177</v>
      </c>
    </row>
    <row r="205" spans="1:8" x14ac:dyDescent="0.3">
      <c r="A205" s="3" t="s">
        <v>350</v>
      </c>
      <c r="B205" s="2" t="s">
        <v>49</v>
      </c>
      <c r="C205">
        <v>1</v>
      </c>
      <c r="D205" s="3" t="s">
        <v>344</v>
      </c>
      <c r="E205">
        <v>0</v>
      </c>
    </row>
    <row r="206" spans="1:8" x14ac:dyDescent="0.3">
      <c r="A206" s="3" t="s">
        <v>350</v>
      </c>
      <c r="B206" s="3" t="s">
        <v>334</v>
      </c>
      <c r="C206" s="3">
        <v>21</v>
      </c>
      <c r="D206" s="3" t="s">
        <v>344</v>
      </c>
      <c r="E206">
        <v>0</v>
      </c>
    </row>
    <row r="207" spans="1:8" x14ac:dyDescent="0.3">
      <c r="A207" s="3" t="s">
        <v>350</v>
      </c>
      <c r="B207" s="2" t="s">
        <v>35</v>
      </c>
      <c r="C207">
        <v>8</v>
      </c>
      <c r="D207" s="3" t="s">
        <v>343</v>
      </c>
      <c r="E207">
        <v>0</v>
      </c>
      <c r="G207">
        <f>SUM(C$172:C$208)</f>
        <v>297</v>
      </c>
      <c r="H207">
        <v>297</v>
      </c>
    </row>
    <row r="208" spans="1:8" x14ac:dyDescent="0.3">
      <c r="A208" s="3" t="s">
        <v>350</v>
      </c>
      <c r="B208" t="s">
        <v>33</v>
      </c>
      <c r="C208">
        <v>1</v>
      </c>
      <c r="D208" s="3" t="s">
        <v>343</v>
      </c>
      <c r="E208">
        <v>1</v>
      </c>
      <c r="F208" s="2" t="s">
        <v>271</v>
      </c>
      <c r="G208">
        <f>COUNT(C$172:C$208)</f>
        <v>37</v>
      </c>
      <c r="H208">
        <v>31</v>
      </c>
    </row>
    <row r="209" spans="1:6" x14ac:dyDescent="0.3">
      <c r="A209" s="3" t="s">
        <v>352</v>
      </c>
      <c r="B209" s="2" t="s">
        <v>152</v>
      </c>
      <c r="C209">
        <v>3</v>
      </c>
      <c r="D209" s="3" t="s">
        <v>344</v>
      </c>
      <c r="E209">
        <v>0</v>
      </c>
    </row>
    <row r="210" spans="1:6" x14ac:dyDescent="0.3">
      <c r="A210" s="3" t="s">
        <v>352</v>
      </c>
      <c r="B210" s="2" t="s">
        <v>30</v>
      </c>
      <c r="C210">
        <v>7</v>
      </c>
      <c r="D210" s="3" t="s">
        <v>344</v>
      </c>
      <c r="E210">
        <v>0</v>
      </c>
    </row>
    <row r="211" spans="1:6" x14ac:dyDescent="0.3">
      <c r="A211" s="3" t="s">
        <v>352</v>
      </c>
      <c r="B211" s="2" t="s">
        <v>220</v>
      </c>
      <c r="C211">
        <v>4</v>
      </c>
      <c r="D211" s="3" t="s">
        <v>344</v>
      </c>
      <c r="E211">
        <v>0</v>
      </c>
    </row>
    <row r="212" spans="1:6" x14ac:dyDescent="0.3">
      <c r="A212" s="3" t="s">
        <v>352</v>
      </c>
      <c r="B212" s="2" t="s">
        <v>56</v>
      </c>
      <c r="C212">
        <v>1</v>
      </c>
      <c r="D212" s="3" t="s">
        <v>343</v>
      </c>
      <c r="E212">
        <v>0</v>
      </c>
    </row>
    <row r="213" spans="1:6" x14ac:dyDescent="0.3">
      <c r="A213" s="3" t="s">
        <v>352</v>
      </c>
      <c r="B213" s="2" t="s">
        <v>147</v>
      </c>
      <c r="C213">
        <v>18</v>
      </c>
      <c r="D213" s="3" t="s">
        <v>344</v>
      </c>
      <c r="E213">
        <v>0</v>
      </c>
    </row>
    <row r="214" spans="1:6" x14ac:dyDescent="0.3">
      <c r="A214" s="3" t="s">
        <v>352</v>
      </c>
      <c r="B214" s="2" t="s">
        <v>98</v>
      </c>
      <c r="C214">
        <v>4</v>
      </c>
      <c r="D214" s="3" t="s">
        <v>344</v>
      </c>
      <c r="E214">
        <v>0</v>
      </c>
    </row>
    <row r="215" spans="1:6" x14ac:dyDescent="0.3">
      <c r="A215" s="3" t="s">
        <v>352</v>
      </c>
      <c r="B215" s="2" t="s">
        <v>151</v>
      </c>
      <c r="C215">
        <v>30</v>
      </c>
      <c r="D215" s="3" t="s">
        <v>344</v>
      </c>
      <c r="E215">
        <v>0</v>
      </c>
    </row>
    <row r="216" spans="1:6" x14ac:dyDescent="0.3">
      <c r="A216" s="3" t="s">
        <v>352</v>
      </c>
      <c r="B216" t="s">
        <v>207</v>
      </c>
      <c r="C216">
        <v>1</v>
      </c>
      <c r="D216" s="3" t="s">
        <v>344</v>
      </c>
      <c r="E216">
        <v>0</v>
      </c>
    </row>
    <row r="217" spans="1:6" x14ac:dyDescent="0.3">
      <c r="A217" s="3" t="s">
        <v>352</v>
      </c>
      <c r="B217" s="3" t="s">
        <v>333</v>
      </c>
      <c r="C217" s="3">
        <v>95</v>
      </c>
      <c r="D217" s="3" t="s">
        <v>344</v>
      </c>
      <c r="E217">
        <v>0</v>
      </c>
    </row>
    <row r="218" spans="1:6" x14ac:dyDescent="0.3">
      <c r="A218" s="3" t="s">
        <v>352</v>
      </c>
      <c r="B218" s="3" t="s">
        <v>333</v>
      </c>
      <c r="C218" s="3">
        <v>2</v>
      </c>
      <c r="D218" s="3" t="s">
        <v>157</v>
      </c>
      <c r="E218">
        <v>0</v>
      </c>
    </row>
    <row r="219" spans="1:6" x14ac:dyDescent="0.3">
      <c r="A219" s="3" t="s">
        <v>352</v>
      </c>
      <c r="B219" t="s">
        <v>41</v>
      </c>
      <c r="C219">
        <v>1</v>
      </c>
      <c r="D219" s="3" t="s">
        <v>344</v>
      </c>
      <c r="E219">
        <v>1</v>
      </c>
      <c r="F219" s="3" t="s">
        <v>269</v>
      </c>
    </row>
    <row r="220" spans="1:6" x14ac:dyDescent="0.3">
      <c r="A220" s="3" t="s">
        <v>352</v>
      </c>
      <c r="B220" s="3" t="s">
        <v>335</v>
      </c>
      <c r="C220">
        <v>1</v>
      </c>
      <c r="D220" s="3" t="s">
        <v>344</v>
      </c>
      <c r="E220">
        <v>0</v>
      </c>
    </row>
    <row r="221" spans="1:6" x14ac:dyDescent="0.3">
      <c r="A221" s="3" t="s">
        <v>352</v>
      </c>
      <c r="B221" s="2" t="s">
        <v>20</v>
      </c>
      <c r="C221">
        <v>16</v>
      </c>
      <c r="D221" s="3" t="s">
        <v>344</v>
      </c>
      <c r="E221">
        <v>0</v>
      </c>
    </row>
    <row r="222" spans="1:6" x14ac:dyDescent="0.3">
      <c r="A222" s="3" t="s">
        <v>352</v>
      </c>
      <c r="B222" s="2" t="s">
        <v>138</v>
      </c>
      <c r="C222">
        <v>3</v>
      </c>
      <c r="D222" s="3" t="s">
        <v>344</v>
      </c>
      <c r="E222">
        <v>0</v>
      </c>
      <c r="F222" s="3"/>
    </row>
    <row r="223" spans="1:6" x14ac:dyDescent="0.3">
      <c r="A223" s="3" t="s">
        <v>352</v>
      </c>
      <c r="B223" s="3" t="s">
        <v>246</v>
      </c>
      <c r="C223">
        <v>1</v>
      </c>
      <c r="D223" s="3" t="s">
        <v>344</v>
      </c>
      <c r="E223">
        <v>0</v>
      </c>
    </row>
    <row r="224" spans="1:6" x14ac:dyDescent="0.3">
      <c r="A224" s="3" t="s">
        <v>352</v>
      </c>
      <c r="B224" s="2" t="s">
        <v>265</v>
      </c>
      <c r="C224">
        <v>1</v>
      </c>
      <c r="D224" s="3" t="s">
        <v>344</v>
      </c>
      <c r="E224">
        <v>0</v>
      </c>
    </row>
    <row r="225" spans="1:5" x14ac:dyDescent="0.3">
      <c r="A225" s="3" t="s">
        <v>352</v>
      </c>
      <c r="B225" s="2" t="s">
        <v>120</v>
      </c>
      <c r="C225">
        <v>11</v>
      </c>
      <c r="D225" s="3" t="s">
        <v>344</v>
      </c>
      <c r="E225">
        <v>0</v>
      </c>
    </row>
    <row r="226" spans="1:5" x14ac:dyDescent="0.3">
      <c r="A226" s="3" t="s">
        <v>352</v>
      </c>
      <c r="B226" s="2" t="s">
        <v>82</v>
      </c>
      <c r="C226">
        <v>11</v>
      </c>
      <c r="D226" s="3" t="s">
        <v>344</v>
      </c>
      <c r="E226">
        <v>0</v>
      </c>
    </row>
    <row r="227" spans="1:5" x14ac:dyDescent="0.3">
      <c r="A227" s="3" t="s">
        <v>352</v>
      </c>
      <c r="B227" s="2" t="s">
        <v>82</v>
      </c>
      <c r="C227">
        <v>2</v>
      </c>
      <c r="D227" s="3" t="s">
        <v>157</v>
      </c>
      <c r="E227">
        <v>0</v>
      </c>
    </row>
    <row r="228" spans="1:5" x14ac:dyDescent="0.3">
      <c r="A228" s="3" t="s">
        <v>352</v>
      </c>
      <c r="B228" s="2" t="s">
        <v>32</v>
      </c>
      <c r="C228">
        <v>2</v>
      </c>
      <c r="D228" s="3" t="s">
        <v>343</v>
      </c>
      <c r="E228">
        <v>0</v>
      </c>
    </row>
    <row r="229" spans="1:5" x14ac:dyDescent="0.3">
      <c r="A229" s="3" t="s">
        <v>352</v>
      </c>
      <c r="B229" s="2" t="s">
        <v>85</v>
      </c>
      <c r="C229">
        <v>16</v>
      </c>
      <c r="D229" s="3" t="s">
        <v>344</v>
      </c>
      <c r="E229">
        <v>0</v>
      </c>
    </row>
    <row r="230" spans="1:5" x14ac:dyDescent="0.3">
      <c r="A230" s="3" t="s">
        <v>352</v>
      </c>
      <c r="B230" s="2" t="s">
        <v>9</v>
      </c>
      <c r="C230">
        <v>64</v>
      </c>
      <c r="D230" s="3" t="s">
        <v>344</v>
      </c>
      <c r="E230">
        <v>0</v>
      </c>
    </row>
    <row r="231" spans="1:5" x14ac:dyDescent="0.3">
      <c r="A231" s="3" t="s">
        <v>352</v>
      </c>
      <c r="B231" s="2" t="s">
        <v>16</v>
      </c>
      <c r="C231">
        <v>5</v>
      </c>
      <c r="D231" s="3" t="s">
        <v>344</v>
      </c>
      <c r="E231">
        <v>0</v>
      </c>
    </row>
    <row r="232" spans="1:5" x14ac:dyDescent="0.3">
      <c r="A232" s="3" t="s">
        <v>352</v>
      </c>
      <c r="B232" s="2" t="s">
        <v>206</v>
      </c>
      <c r="C232">
        <v>10</v>
      </c>
      <c r="D232" s="3" t="s">
        <v>344</v>
      </c>
      <c r="E232">
        <v>0</v>
      </c>
    </row>
    <row r="233" spans="1:5" x14ac:dyDescent="0.3">
      <c r="A233" s="3" t="s">
        <v>352</v>
      </c>
      <c r="B233" s="2" t="s">
        <v>105</v>
      </c>
      <c r="C233">
        <v>1</v>
      </c>
      <c r="D233" s="3" t="s">
        <v>344</v>
      </c>
      <c r="E233">
        <v>0</v>
      </c>
    </row>
    <row r="234" spans="1:5" x14ac:dyDescent="0.3">
      <c r="A234" s="3" t="s">
        <v>352</v>
      </c>
      <c r="B234" s="2" t="s">
        <v>369</v>
      </c>
      <c r="C234">
        <v>1</v>
      </c>
      <c r="D234" s="3" t="s">
        <v>344</v>
      </c>
      <c r="E234">
        <v>0</v>
      </c>
    </row>
    <row r="235" spans="1:5" x14ac:dyDescent="0.3">
      <c r="A235" s="3" t="s">
        <v>352</v>
      </c>
      <c r="B235" s="2" t="s">
        <v>136</v>
      </c>
      <c r="C235">
        <v>4</v>
      </c>
      <c r="D235" s="3" t="s">
        <v>344</v>
      </c>
      <c r="E235">
        <v>0</v>
      </c>
    </row>
    <row r="236" spans="1:5" x14ac:dyDescent="0.3">
      <c r="A236" s="3" t="s">
        <v>352</v>
      </c>
      <c r="B236" s="2" t="s">
        <v>136</v>
      </c>
      <c r="C236">
        <v>6</v>
      </c>
      <c r="D236" s="3" t="s">
        <v>157</v>
      </c>
      <c r="E236">
        <v>0</v>
      </c>
    </row>
    <row r="237" spans="1:5" x14ac:dyDescent="0.3">
      <c r="A237" s="3" t="s">
        <v>352</v>
      </c>
      <c r="B237" s="2" t="s">
        <v>202</v>
      </c>
      <c r="C237">
        <v>2</v>
      </c>
      <c r="D237" s="3" t="s">
        <v>344</v>
      </c>
      <c r="E237">
        <v>0</v>
      </c>
    </row>
    <row r="238" spans="1:5" x14ac:dyDescent="0.3">
      <c r="A238" s="3" t="s">
        <v>352</v>
      </c>
      <c r="B238" t="s">
        <v>71</v>
      </c>
      <c r="C238">
        <v>12</v>
      </c>
      <c r="D238" s="3" t="s">
        <v>343</v>
      </c>
      <c r="E238">
        <v>0</v>
      </c>
    </row>
    <row r="239" spans="1:5" x14ac:dyDescent="0.3">
      <c r="A239" s="3" t="s">
        <v>352</v>
      </c>
      <c r="B239" s="2" t="s">
        <v>104</v>
      </c>
      <c r="C239">
        <v>23</v>
      </c>
      <c r="D239" s="3" t="s">
        <v>344</v>
      </c>
      <c r="E239">
        <v>0</v>
      </c>
    </row>
    <row r="240" spans="1:5" x14ac:dyDescent="0.3">
      <c r="A240" s="3" t="s">
        <v>352</v>
      </c>
      <c r="B240" s="2" t="s">
        <v>104</v>
      </c>
      <c r="C240">
        <v>8</v>
      </c>
      <c r="D240" s="3" t="s">
        <v>224</v>
      </c>
      <c r="E240">
        <v>0</v>
      </c>
    </row>
    <row r="241" spans="1:8" x14ac:dyDescent="0.3">
      <c r="A241" s="3" t="s">
        <v>352</v>
      </c>
      <c r="B241" s="2" t="s">
        <v>153</v>
      </c>
      <c r="C241">
        <v>1</v>
      </c>
      <c r="D241" s="3" t="s">
        <v>344</v>
      </c>
      <c r="E241">
        <v>0</v>
      </c>
    </row>
    <row r="242" spans="1:8" x14ac:dyDescent="0.3">
      <c r="A242" s="3" t="s">
        <v>352</v>
      </c>
      <c r="B242" s="3" t="s">
        <v>310</v>
      </c>
      <c r="C242" s="3">
        <v>87</v>
      </c>
      <c r="D242" s="3" t="s">
        <v>344</v>
      </c>
      <c r="E242">
        <v>0</v>
      </c>
    </row>
    <row r="243" spans="1:8" x14ac:dyDescent="0.3">
      <c r="A243" s="3" t="s">
        <v>352</v>
      </c>
      <c r="B243" s="3" t="s">
        <v>310</v>
      </c>
      <c r="C243" s="3">
        <v>18</v>
      </c>
      <c r="D243" s="3" t="s">
        <v>157</v>
      </c>
      <c r="E243">
        <v>0</v>
      </c>
    </row>
    <row r="244" spans="1:8" x14ac:dyDescent="0.3">
      <c r="A244" s="3" t="s">
        <v>352</v>
      </c>
      <c r="B244" t="s">
        <v>72</v>
      </c>
      <c r="C244">
        <v>10</v>
      </c>
      <c r="D244" s="3" t="s">
        <v>343</v>
      </c>
      <c r="E244">
        <v>0</v>
      </c>
    </row>
    <row r="245" spans="1:8" x14ac:dyDescent="0.3">
      <c r="A245" s="3" t="s">
        <v>352</v>
      </c>
      <c r="B245" s="2" t="s">
        <v>114</v>
      </c>
      <c r="C245">
        <v>18</v>
      </c>
      <c r="D245" s="3" t="s">
        <v>344</v>
      </c>
      <c r="E245">
        <v>0</v>
      </c>
    </row>
    <row r="246" spans="1:8" x14ac:dyDescent="0.3">
      <c r="A246" s="3" t="s">
        <v>352</v>
      </c>
      <c r="B246" s="2" t="s">
        <v>278</v>
      </c>
      <c r="C246">
        <v>1</v>
      </c>
      <c r="D246" s="3" t="s">
        <v>344</v>
      </c>
      <c r="E246">
        <v>0</v>
      </c>
    </row>
    <row r="247" spans="1:8" x14ac:dyDescent="0.3">
      <c r="A247" s="3" t="s">
        <v>352</v>
      </c>
      <c r="B247" s="2" t="s">
        <v>39</v>
      </c>
      <c r="C247">
        <v>4</v>
      </c>
      <c r="D247" s="3" t="s">
        <v>344</v>
      </c>
      <c r="E247">
        <v>0</v>
      </c>
    </row>
    <row r="248" spans="1:8" x14ac:dyDescent="0.3">
      <c r="A248" s="3" t="s">
        <v>352</v>
      </c>
      <c r="B248" s="2" t="s">
        <v>227</v>
      </c>
      <c r="C248">
        <v>1</v>
      </c>
      <c r="D248" s="3" t="s">
        <v>344</v>
      </c>
      <c r="E248">
        <v>0</v>
      </c>
    </row>
    <row r="249" spans="1:8" x14ac:dyDescent="0.3">
      <c r="A249" s="3" t="s">
        <v>352</v>
      </c>
      <c r="B249" s="2" t="s">
        <v>49</v>
      </c>
      <c r="C249">
        <v>2</v>
      </c>
      <c r="D249" s="3" t="s">
        <v>344</v>
      </c>
      <c r="E249">
        <v>0</v>
      </c>
    </row>
    <row r="250" spans="1:8" x14ac:dyDescent="0.3">
      <c r="A250" s="3" t="s">
        <v>352</v>
      </c>
      <c r="B250" s="3" t="s">
        <v>334</v>
      </c>
      <c r="C250" s="3">
        <v>24</v>
      </c>
      <c r="D250" s="3" t="s">
        <v>344</v>
      </c>
      <c r="E250">
        <v>0</v>
      </c>
      <c r="G250">
        <f>SUM(C$209:C$251)</f>
        <v>543</v>
      </c>
      <c r="H250">
        <v>543</v>
      </c>
    </row>
    <row r="251" spans="1:8" x14ac:dyDescent="0.3">
      <c r="A251" s="3" t="s">
        <v>352</v>
      </c>
      <c r="B251" s="2" t="s">
        <v>35</v>
      </c>
      <c r="C251">
        <v>11</v>
      </c>
      <c r="D251" s="3" t="s">
        <v>343</v>
      </c>
      <c r="E251">
        <v>0</v>
      </c>
      <c r="G251">
        <f>COUNT(C$209:C$251)</f>
        <v>43</v>
      </c>
      <c r="H251">
        <v>37</v>
      </c>
    </row>
    <row r="252" spans="1:8" x14ac:dyDescent="0.3">
      <c r="A252" s="3" t="s">
        <v>353</v>
      </c>
      <c r="B252" s="2" t="s">
        <v>178</v>
      </c>
      <c r="C252" s="3">
        <v>1</v>
      </c>
      <c r="D252" s="3" t="s">
        <v>344</v>
      </c>
      <c r="E252">
        <v>0</v>
      </c>
    </row>
    <row r="253" spans="1:8" x14ac:dyDescent="0.3">
      <c r="A253" s="3" t="s">
        <v>353</v>
      </c>
      <c r="B253" s="2" t="s">
        <v>147</v>
      </c>
      <c r="C253" s="3">
        <v>1</v>
      </c>
      <c r="D253" s="3" t="s">
        <v>344</v>
      </c>
      <c r="E253">
        <v>0</v>
      </c>
    </row>
    <row r="254" spans="1:8" x14ac:dyDescent="0.3">
      <c r="A254" s="3" t="s">
        <v>353</v>
      </c>
      <c r="B254" s="2" t="s">
        <v>98</v>
      </c>
      <c r="C254">
        <v>22</v>
      </c>
      <c r="D254" s="3" t="s">
        <v>344</v>
      </c>
      <c r="E254">
        <v>0</v>
      </c>
    </row>
    <row r="255" spans="1:8" x14ac:dyDescent="0.3">
      <c r="A255" s="3" t="s">
        <v>353</v>
      </c>
      <c r="B255" s="2" t="s">
        <v>151</v>
      </c>
      <c r="C255" s="3">
        <v>3</v>
      </c>
      <c r="D255" s="3" t="s">
        <v>344</v>
      </c>
      <c r="E255">
        <v>0</v>
      </c>
    </row>
    <row r="256" spans="1:8" x14ac:dyDescent="0.3">
      <c r="A256" s="3" t="s">
        <v>353</v>
      </c>
      <c r="B256" s="3" t="s">
        <v>333</v>
      </c>
      <c r="C256" s="3">
        <v>113</v>
      </c>
      <c r="D256" s="3" t="s">
        <v>344</v>
      </c>
      <c r="E256">
        <v>0</v>
      </c>
    </row>
    <row r="257" spans="1:6" x14ac:dyDescent="0.3">
      <c r="A257" s="3" t="s">
        <v>353</v>
      </c>
      <c r="B257" s="3" t="s">
        <v>333</v>
      </c>
      <c r="C257" s="3">
        <v>3</v>
      </c>
      <c r="D257" s="3" t="s">
        <v>157</v>
      </c>
      <c r="E257">
        <v>0</v>
      </c>
    </row>
    <row r="258" spans="1:6" x14ac:dyDescent="0.3">
      <c r="A258" s="3" t="s">
        <v>353</v>
      </c>
      <c r="B258" t="s">
        <v>41</v>
      </c>
      <c r="C258" s="3">
        <v>1</v>
      </c>
      <c r="D258" s="3" t="s">
        <v>344</v>
      </c>
      <c r="E258">
        <v>1</v>
      </c>
      <c r="F258" s="3" t="s">
        <v>269</v>
      </c>
    </row>
    <row r="259" spans="1:6" x14ac:dyDescent="0.3">
      <c r="A259" s="3" t="s">
        <v>353</v>
      </c>
      <c r="B259" s="2" t="s">
        <v>21</v>
      </c>
      <c r="C259">
        <v>1</v>
      </c>
      <c r="D259" s="3" t="s">
        <v>344</v>
      </c>
      <c r="E259">
        <v>0</v>
      </c>
      <c r="F259" s="3"/>
    </row>
    <row r="260" spans="1:6" x14ac:dyDescent="0.3">
      <c r="A260" s="3" t="s">
        <v>353</v>
      </c>
      <c r="B260" s="2" t="s">
        <v>137</v>
      </c>
      <c r="C260">
        <v>2</v>
      </c>
      <c r="D260" s="3" t="s">
        <v>344</v>
      </c>
      <c r="E260">
        <v>0</v>
      </c>
    </row>
    <row r="261" spans="1:6" x14ac:dyDescent="0.3">
      <c r="A261" s="3" t="s">
        <v>353</v>
      </c>
      <c r="B261" s="2" t="s">
        <v>170</v>
      </c>
      <c r="C261" s="3">
        <v>1</v>
      </c>
      <c r="D261" s="3" t="s">
        <v>344</v>
      </c>
      <c r="E261">
        <v>0</v>
      </c>
    </row>
    <row r="262" spans="1:6" x14ac:dyDescent="0.3">
      <c r="A262" s="3" t="s">
        <v>353</v>
      </c>
      <c r="B262" s="2" t="s">
        <v>20</v>
      </c>
      <c r="C262" s="3">
        <v>5</v>
      </c>
      <c r="D262" s="3" t="s">
        <v>344</v>
      </c>
      <c r="E262">
        <v>0</v>
      </c>
    </row>
    <row r="263" spans="1:6" x14ac:dyDescent="0.3">
      <c r="A263" s="3" t="s">
        <v>353</v>
      </c>
      <c r="B263" s="2" t="s">
        <v>138</v>
      </c>
      <c r="C263" s="3">
        <v>5</v>
      </c>
      <c r="D263" s="3" t="s">
        <v>344</v>
      </c>
      <c r="E263">
        <v>0</v>
      </c>
    </row>
    <row r="264" spans="1:6" x14ac:dyDescent="0.3">
      <c r="A264" s="3" t="s">
        <v>353</v>
      </c>
      <c r="B264" s="2" t="s">
        <v>148</v>
      </c>
      <c r="C264" s="3">
        <v>1</v>
      </c>
      <c r="D264" s="3" t="s">
        <v>344</v>
      </c>
      <c r="E264">
        <v>0</v>
      </c>
      <c r="F264" s="3" t="s">
        <v>133</v>
      </c>
    </row>
    <row r="265" spans="1:6" x14ac:dyDescent="0.3">
      <c r="A265" s="3" t="s">
        <v>353</v>
      </c>
      <c r="B265" s="2" t="s">
        <v>106</v>
      </c>
      <c r="C265">
        <v>5</v>
      </c>
      <c r="D265" s="3" t="s">
        <v>344</v>
      </c>
      <c r="E265">
        <v>0</v>
      </c>
    </row>
    <row r="266" spans="1:6" x14ac:dyDescent="0.3">
      <c r="A266" s="3" t="s">
        <v>353</v>
      </c>
      <c r="B266" s="2" t="s">
        <v>82</v>
      </c>
      <c r="C266">
        <v>14</v>
      </c>
      <c r="D266" s="3" t="s">
        <v>344</v>
      </c>
      <c r="E266">
        <v>0</v>
      </c>
    </row>
    <row r="267" spans="1:6" x14ac:dyDescent="0.3">
      <c r="A267" s="3" t="s">
        <v>353</v>
      </c>
      <c r="B267" s="2" t="s">
        <v>85</v>
      </c>
      <c r="C267">
        <v>2</v>
      </c>
      <c r="D267" s="3" t="s">
        <v>344</v>
      </c>
      <c r="E267">
        <v>0</v>
      </c>
    </row>
    <row r="268" spans="1:6" x14ac:dyDescent="0.3">
      <c r="A268" s="3" t="s">
        <v>353</v>
      </c>
      <c r="B268" s="2" t="s">
        <v>9</v>
      </c>
      <c r="C268" s="3">
        <v>48</v>
      </c>
      <c r="D268" s="3" t="s">
        <v>344</v>
      </c>
      <c r="E268">
        <v>0</v>
      </c>
    </row>
    <row r="269" spans="1:6" x14ac:dyDescent="0.3">
      <c r="A269" s="3" t="s">
        <v>353</v>
      </c>
      <c r="B269" s="2" t="s">
        <v>16</v>
      </c>
      <c r="C269" s="3">
        <v>3</v>
      </c>
      <c r="D269" s="3" t="s">
        <v>344</v>
      </c>
      <c r="E269">
        <v>0</v>
      </c>
    </row>
    <row r="270" spans="1:6" x14ac:dyDescent="0.3">
      <c r="A270" s="3" t="s">
        <v>353</v>
      </c>
      <c r="B270" s="2" t="s">
        <v>105</v>
      </c>
      <c r="C270" s="3">
        <v>1</v>
      </c>
      <c r="D270" s="3" t="s">
        <v>344</v>
      </c>
      <c r="E270">
        <v>0</v>
      </c>
    </row>
    <row r="271" spans="1:6" x14ac:dyDescent="0.3">
      <c r="A271" s="3" t="s">
        <v>353</v>
      </c>
      <c r="B271" s="2" t="s">
        <v>136</v>
      </c>
      <c r="C271" s="3">
        <v>4</v>
      </c>
      <c r="D271" s="3" t="s">
        <v>344</v>
      </c>
      <c r="E271">
        <v>0</v>
      </c>
    </row>
    <row r="272" spans="1:6" x14ac:dyDescent="0.3">
      <c r="A272" s="3" t="s">
        <v>353</v>
      </c>
      <c r="B272" s="2" t="s">
        <v>202</v>
      </c>
      <c r="C272" s="3">
        <v>1</v>
      </c>
      <c r="D272" s="3" t="s">
        <v>344</v>
      </c>
      <c r="E272">
        <v>0</v>
      </c>
    </row>
    <row r="273" spans="1:8" x14ac:dyDescent="0.3">
      <c r="A273" s="3" t="s">
        <v>353</v>
      </c>
      <c r="B273" t="s">
        <v>71</v>
      </c>
      <c r="C273">
        <v>53</v>
      </c>
      <c r="D273" s="3" t="s">
        <v>343</v>
      </c>
      <c r="E273">
        <v>0</v>
      </c>
    </row>
    <row r="274" spans="1:8" x14ac:dyDescent="0.3">
      <c r="A274" s="3" t="s">
        <v>353</v>
      </c>
      <c r="B274" s="2" t="s">
        <v>104</v>
      </c>
      <c r="C274" s="3">
        <v>22</v>
      </c>
      <c r="D274" s="3" t="s">
        <v>344</v>
      </c>
      <c r="E274">
        <v>0</v>
      </c>
    </row>
    <row r="275" spans="1:8" x14ac:dyDescent="0.3">
      <c r="A275" s="3" t="s">
        <v>353</v>
      </c>
      <c r="B275" s="2" t="s">
        <v>104</v>
      </c>
      <c r="C275" s="3">
        <v>2</v>
      </c>
      <c r="D275" s="3" t="s">
        <v>224</v>
      </c>
      <c r="E275">
        <v>0</v>
      </c>
    </row>
    <row r="276" spans="1:8" x14ac:dyDescent="0.3">
      <c r="A276" s="3" t="s">
        <v>353</v>
      </c>
      <c r="B276" s="2" t="s">
        <v>153</v>
      </c>
      <c r="C276">
        <v>1</v>
      </c>
      <c r="D276" s="3" t="s">
        <v>344</v>
      </c>
      <c r="E276">
        <v>0</v>
      </c>
    </row>
    <row r="277" spans="1:8" x14ac:dyDescent="0.3">
      <c r="A277" s="3" t="s">
        <v>353</v>
      </c>
      <c r="B277" s="3" t="s">
        <v>310</v>
      </c>
      <c r="C277" s="3">
        <v>129</v>
      </c>
      <c r="D277" s="3" t="s">
        <v>344</v>
      </c>
      <c r="E277">
        <v>0</v>
      </c>
    </row>
    <row r="278" spans="1:8" x14ac:dyDescent="0.3">
      <c r="A278" s="3" t="s">
        <v>353</v>
      </c>
      <c r="B278" s="3" t="s">
        <v>310</v>
      </c>
      <c r="C278" s="3">
        <v>3</v>
      </c>
      <c r="D278" s="3" t="s">
        <v>157</v>
      </c>
      <c r="E278">
        <v>0</v>
      </c>
    </row>
    <row r="279" spans="1:8" x14ac:dyDescent="0.3">
      <c r="A279" s="3" t="s">
        <v>353</v>
      </c>
      <c r="B279" t="s">
        <v>72</v>
      </c>
      <c r="C279">
        <v>35</v>
      </c>
      <c r="D279" s="3" t="s">
        <v>343</v>
      </c>
      <c r="E279">
        <v>0</v>
      </c>
    </row>
    <row r="280" spans="1:8" x14ac:dyDescent="0.3">
      <c r="A280" s="3" t="s">
        <v>353</v>
      </c>
      <c r="B280" s="2" t="s">
        <v>114</v>
      </c>
      <c r="C280" s="3">
        <v>25</v>
      </c>
      <c r="D280" s="3" t="s">
        <v>344</v>
      </c>
      <c r="E280">
        <v>0</v>
      </c>
      <c r="F280" s="3"/>
    </row>
    <row r="281" spans="1:8" x14ac:dyDescent="0.3">
      <c r="A281" s="3" t="s">
        <v>353</v>
      </c>
      <c r="B281" s="2" t="s">
        <v>283</v>
      </c>
      <c r="C281" s="3">
        <v>1</v>
      </c>
      <c r="D281" s="3" t="s">
        <v>344</v>
      </c>
      <c r="E281">
        <v>0</v>
      </c>
    </row>
    <row r="282" spans="1:8" x14ac:dyDescent="0.3">
      <c r="A282" s="3" t="s">
        <v>353</v>
      </c>
      <c r="B282" s="2" t="s">
        <v>49</v>
      </c>
      <c r="C282" s="3">
        <v>1</v>
      </c>
      <c r="D282" s="3" t="s">
        <v>344</v>
      </c>
      <c r="E282">
        <v>0</v>
      </c>
    </row>
    <row r="283" spans="1:8" x14ac:dyDescent="0.3">
      <c r="A283" s="3" t="s">
        <v>353</v>
      </c>
      <c r="B283" s="3" t="s">
        <v>334</v>
      </c>
      <c r="C283" s="3">
        <v>11</v>
      </c>
      <c r="D283" s="3" t="s">
        <v>344</v>
      </c>
      <c r="E283">
        <v>0</v>
      </c>
      <c r="G283">
        <f>SUM(C$252:C$284)</f>
        <v>524</v>
      </c>
      <c r="H283">
        <v>524</v>
      </c>
    </row>
    <row r="284" spans="1:8" x14ac:dyDescent="0.3">
      <c r="A284" s="3" t="s">
        <v>353</v>
      </c>
      <c r="B284" s="2" t="s">
        <v>35</v>
      </c>
      <c r="C284">
        <v>4</v>
      </c>
      <c r="D284" s="3" t="s">
        <v>343</v>
      </c>
      <c r="E284">
        <v>0</v>
      </c>
      <c r="G284">
        <f>COUNT(C$252:C$284)</f>
        <v>33</v>
      </c>
      <c r="H284">
        <v>30</v>
      </c>
    </row>
    <row r="285" spans="1:8" x14ac:dyDescent="0.3">
      <c r="A285" s="3" t="s">
        <v>354</v>
      </c>
      <c r="B285" s="2" t="s">
        <v>152</v>
      </c>
      <c r="C285" s="3">
        <v>2</v>
      </c>
      <c r="D285" s="3" t="s">
        <v>344</v>
      </c>
      <c r="E285">
        <v>0</v>
      </c>
      <c r="F285" s="3" t="s">
        <v>362</v>
      </c>
    </row>
    <row r="286" spans="1:8" x14ac:dyDescent="0.3">
      <c r="A286" s="3" t="s">
        <v>354</v>
      </c>
      <c r="B286" s="2" t="s">
        <v>178</v>
      </c>
      <c r="C286" s="3">
        <v>1</v>
      </c>
      <c r="D286" s="3" t="s">
        <v>344</v>
      </c>
      <c r="E286">
        <v>0</v>
      </c>
      <c r="F286" s="3"/>
    </row>
    <row r="287" spans="1:8" x14ac:dyDescent="0.3">
      <c r="A287" s="3" t="s">
        <v>354</v>
      </c>
      <c r="B287" s="2" t="s">
        <v>154</v>
      </c>
      <c r="C287">
        <v>1</v>
      </c>
      <c r="D287" s="3" t="s">
        <v>344</v>
      </c>
      <c r="E287">
        <v>0</v>
      </c>
    </row>
    <row r="288" spans="1:8" x14ac:dyDescent="0.3">
      <c r="A288" s="3" t="s">
        <v>354</v>
      </c>
      <c r="B288" s="2" t="s">
        <v>147</v>
      </c>
      <c r="C288" s="3">
        <v>1</v>
      </c>
      <c r="D288" s="3" t="s">
        <v>344</v>
      </c>
      <c r="E288">
        <v>0</v>
      </c>
      <c r="F288" s="3"/>
    </row>
    <row r="289" spans="1:6" x14ac:dyDescent="0.3">
      <c r="A289" s="3" t="s">
        <v>354</v>
      </c>
      <c r="B289" s="2" t="s">
        <v>98</v>
      </c>
      <c r="C289" s="3">
        <v>15</v>
      </c>
      <c r="D289" s="3" t="s">
        <v>344</v>
      </c>
      <c r="E289">
        <v>0</v>
      </c>
    </row>
    <row r="290" spans="1:6" x14ac:dyDescent="0.3">
      <c r="A290" s="3" t="s">
        <v>354</v>
      </c>
      <c r="B290" s="2" t="s">
        <v>151</v>
      </c>
      <c r="C290" s="3">
        <v>4</v>
      </c>
      <c r="D290" s="3" t="s">
        <v>344</v>
      </c>
      <c r="E290">
        <v>0</v>
      </c>
    </row>
    <row r="291" spans="1:6" x14ac:dyDescent="0.3">
      <c r="A291" s="3" t="s">
        <v>354</v>
      </c>
      <c r="B291" s="3" t="s">
        <v>333</v>
      </c>
      <c r="C291" s="3">
        <v>72</v>
      </c>
      <c r="D291" s="3" t="s">
        <v>344</v>
      </c>
      <c r="E291">
        <v>0</v>
      </c>
    </row>
    <row r="292" spans="1:6" x14ac:dyDescent="0.3">
      <c r="A292" s="3" t="s">
        <v>354</v>
      </c>
      <c r="B292" s="2" t="s">
        <v>137</v>
      </c>
      <c r="C292">
        <v>2</v>
      </c>
      <c r="D292" s="3" t="s">
        <v>344</v>
      </c>
      <c r="E292">
        <v>0</v>
      </c>
    </row>
    <row r="293" spans="1:6" x14ac:dyDescent="0.3">
      <c r="A293" s="3" t="s">
        <v>354</v>
      </c>
      <c r="B293" s="2" t="s">
        <v>294</v>
      </c>
      <c r="C293" s="3">
        <v>1</v>
      </c>
      <c r="D293" s="3" t="s">
        <v>344</v>
      </c>
      <c r="E293">
        <v>0</v>
      </c>
    </row>
    <row r="294" spans="1:6" x14ac:dyDescent="0.3">
      <c r="A294" s="3" t="s">
        <v>354</v>
      </c>
      <c r="B294" s="2" t="s">
        <v>20</v>
      </c>
      <c r="C294">
        <v>5</v>
      </c>
      <c r="D294" s="3" t="s">
        <v>344</v>
      </c>
      <c r="E294">
        <v>0</v>
      </c>
      <c r="F294" s="3"/>
    </row>
    <row r="295" spans="1:6" x14ac:dyDescent="0.3">
      <c r="A295" s="3" t="s">
        <v>354</v>
      </c>
      <c r="B295" s="2" t="s">
        <v>138</v>
      </c>
      <c r="C295" s="3">
        <v>9</v>
      </c>
      <c r="D295" s="3" t="s">
        <v>344</v>
      </c>
      <c r="E295">
        <v>0</v>
      </c>
    </row>
    <row r="296" spans="1:6" x14ac:dyDescent="0.3">
      <c r="A296" s="3" t="s">
        <v>354</v>
      </c>
      <c r="B296" s="2" t="s">
        <v>148</v>
      </c>
      <c r="C296" s="3">
        <v>2</v>
      </c>
      <c r="D296" s="3" t="s">
        <v>344</v>
      </c>
      <c r="E296">
        <v>0</v>
      </c>
      <c r="F296" s="3" t="s">
        <v>291</v>
      </c>
    </row>
    <row r="297" spans="1:6" x14ac:dyDescent="0.3">
      <c r="A297" s="3" t="s">
        <v>354</v>
      </c>
      <c r="B297" s="2" t="s">
        <v>106</v>
      </c>
      <c r="C297">
        <v>1</v>
      </c>
      <c r="D297" s="3" t="s">
        <v>344</v>
      </c>
      <c r="E297">
        <v>0</v>
      </c>
    </row>
    <row r="298" spans="1:6" x14ac:dyDescent="0.3">
      <c r="A298" s="3" t="s">
        <v>354</v>
      </c>
      <c r="B298" s="2" t="s">
        <v>103</v>
      </c>
      <c r="C298">
        <v>1</v>
      </c>
      <c r="D298" s="3" t="s">
        <v>344</v>
      </c>
      <c r="E298">
        <v>0</v>
      </c>
    </row>
    <row r="299" spans="1:6" x14ac:dyDescent="0.3">
      <c r="A299" s="3" t="s">
        <v>354</v>
      </c>
      <c r="B299" s="2" t="s">
        <v>209</v>
      </c>
      <c r="C299" s="3">
        <v>1</v>
      </c>
      <c r="D299" s="3" t="s">
        <v>344</v>
      </c>
      <c r="E299">
        <v>0</v>
      </c>
    </row>
    <row r="300" spans="1:6" x14ac:dyDescent="0.3">
      <c r="A300" s="3" t="s">
        <v>354</v>
      </c>
      <c r="B300" s="2" t="s">
        <v>290</v>
      </c>
      <c r="C300">
        <v>1</v>
      </c>
      <c r="D300" s="3" t="s">
        <v>343</v>
      </c>
      <c r="E300">
        <v>0</v>
      </c>
    </row>
    <row r="301" spans="1:6" x14ac:dyDescent="0.3">
      <c r="A301" s="3" t="s">
        <v>354</v>
      </c>
      <c r="B301" s="2" t="s">
        <v>82</v>
      </c>
      <c r="C301" s="3">
        <v>3</v>
      </c>
      <c r="D301" s="3" t="s">
        <v>344</v>
      </c>
      <c r="E301">
        <v>0</v>
      </c>
    </row>
    <row r="302" spans="1:6" x14ac:dyDescent="0.3">
      <c r="A302" s="3" t="s">
        <v>354</v>
      </c>
      <c r="B302" s="2" t="s">
        <v>32</v>
      </c>
      <c r="C302">
        <v>1</v>
      </c>
      <c r="D302" s="3" t="s">
        <v>343</v>
      </c>
      <c r="E302">
        <v>0</v>
      </c>
    </row>
    <row r="303" spans="1:6" x14ac:dyDescent="0.3">
      <c r="A303" s="3" t="s">
        <v>354</v>
      </c>
      <c r="B303" s="2" t="s">
        <v>85</v>
      </c>
      <c r="C303" s="3">
        <v>2</v>
      </c>
      <c r="D303" s="3" t="s">
        <v>344</v>
      </c>
      <c r="E303">
        <v>0</v>
      </c>
    </row>
    <row r="304" spans="1:6" x14ac:dyDescent="0.3">
      <c r="A304" s="3" t="s">
        <v>354</v>
      </c>
      <c r="B304" s="2" t="s">
        <v>235</v>
      </c>
      <c r="C304" s="3">
        <v>1</v>
      </c>
      <c r="D304" s="3" t="s">
        <v>344</v>
      </c>
      <c r="E304">
        <v>0</v>
      </c>
      <c r="F304" s="3" t="s">
        <v>133</v>
      </c>
    </row>
    <row r="305" spans="1:6" x14ac:dyDescent="0.3">
      <c r="A305" s="3" t="s">
        <v>354</v>
      </c>
      <c r="B305" s="2" t="s">
        <v>9</v>
      </c>
      <c r="C305" s="3">
        <v>36</v>
      </c>
      <c r="D305" s="3" t="s">
        <v>344</v>
      </c>
      <c r="E305">
        <v>0</v>
      </c>
    </row>
    <row r="306" spans="1:6" x14ac:dyDescent="0.3">
      <c r="A306" s="3" t="s">
        <v>354</v>
      </c>
      <c r="B306" s="2" t="s">
        <v>196</v>
      </c>
      <c r="C306" s="3">
        <v>2</v>
      </c>
      <c r="D306" s="3" t="s">
        <v>344</v>
      </c>
      <c r="E306">
        <v>0</v>
      </c>
    </row>
    <row r="307" spans="1:6" x14ac:dyDescent="0.3">
      <c r="A307" s="3" t="s">
        <v>354</v>
      </c>
      <c r="B307" s="2" t="s">
        <v>16</v>
      </c>
      <c r="C307" s="3">
        <v>4</v>
      </c>
      <c r="D307" s="3" t="s">
        <v>344</v>
      </c>
      <c r="E307">
        <v>0</v>
      </c>
    </row>
    <row r="308" spans="1:6" x14ac:dyDescent="0.3">
      <c r="A308" s="3" t="s">
        <v>354</v>
      </c>
      <c r="B308" s="2" t="s">
        <v>105</v>
      </c>
      <c r="C308">
        <v>3</v>
      </c>
      <c r="D308" s="3" t="s">
        <v>344</v>
      </c>
      <c r="E308">
        <v>0</v>
      </c>
    </row>
    <row r="309" spans="1:6" x14ac:dyDescent="0.3">
      <c r="A309" s="3" t="s">
        <v>354</v>
      </c>
      <c r="B309" s="2" t="s">
        <v>136</v>
      </c>
      <c r="C309">
        <v>3</v>
      </c>
      <c r="D309" s="3" t="s">
        <v>344</v>
      </c>
      <c r="E309">
        <v>0</v>
      </c>
    </row>
    <row r="310" spans="1:6" x14ac:dyDescent="0.3">
      <c r="A310" s="3" t="s">
        <v>354</v>
      </c>
      <c r="B310" s="2" t="s">
        <v>202</v>
      </c>
      <c r="C310" s="3">
        <v>1</v>
      </c>
      <c r="D310" s="3" t="s">
        <v>344</v>
      </c>
      <c r="E310">
        <v>0</v>
      </c>
    </row>
    <row r="311" spans="1:6" x14ac:dyDescent="0.3">
      <c r="A311" s="3" t="s">
        <v>354</v>
      </c>
      <c r="B311" t="s">
        <v>71</v>
      </c>
      <c r="C311">
        <v>84</v>
      </c>
      <c r="D311" s="3" t="s">
        <v>343</v>
      </c>
      <c r="E311">
        <v>0</v>
      </c>
      <c r="F311" s="3"/>
    </row>
    <row r="312" spans="1:6" x14ac:dyDescent="0.3">
      <c r="A312" s="3" t="s">
        <v>354</v>
      </c>
      <c r="B312" s="2" t="s">
        <v>104</v>
      </c>
      <c r="C312" s="3">
        <v>44</v>
      </c>
      <c r="D312" s="3" t="s">
        <v>344</v>
      </c>
      <c r="E312">
        <v>0</v>
      </c>
    </row>
    <row r="313" spans="1:6" x14ac:dyDescent="0.3">
      <c r="A313" s="3" t="s">
        <v>354</v>
      </c>
      <c r="B313" s="3" t="s">
        <v>310</v>
      </c>
      <c r="C313" s="3">
        <v>58</v>
      </c>
      <c r="D313" s="3" t="s">
        <v>344</v>
      </c>
      <c r="E313">
        <v>0</v>
      </c>
    </row>
    <row r="314" spans="1:6" x14ac:dyDescent="0.3">
      <c r="A314" s="3" t="s">
        <v>354</v>
      </c>
      <c r="B314" s="3" t="s">
        <v>310</v>
      </c>
      <c r="C314" s="3">
        <v>2</v>
      </c>
      <c r="D314" s="3" t="s">
        <v>157</v>
      </c>
      <c r="E314">
        <v>0</v>
      </c>
    </row>
    <row r="315" spans="1:6" x14ac:dyDescent="0.3">
      <c r="A315" s="3" t="s">
        <v>354</v>
      </c>
      <c r="B315" t="s">
        <v>72</v>
      </c>
      <c r="C315">
        <v>85</v>
      </c>
      <c r="D315" s="3" t="s">
        <v>343</v>
      </c>
      <c r="E315">
        <v>0</v>
      </c>
    </row>
    <row r="316" spans="1:6" x14ac:dyDescent="0.3">
      <c r="A316" s="3" t="s">
        <v>354</v>
      </c>
      <c r="B316" s="2" t="s">
        <v>114</v>
      </c>
      <c r="C316">
        <v>21</v>
      </c>
      <c r="D316" s="3" t="s">
        <v>344</v>
      </c>
      <c r="E316">
        <v>0</v>
      </c>
    </row>
    <row r="317" spans="1:6" x14ac:dyDescent="0.3">
      <c r="A317" s="3" t="s">
        <v>354</v>
      </c>
      <c r="B317" s="2" t="s">
        <v>150</v>
      </c>
      <c r="C317" s="3">
        <v>1</v>
      </c>
      <c r="D317" s="3" t="s">
        <v>344</v>
      </c>
      <c r="E317">
        <v>0</v>
      </c>
    </row>
    <row r="318" spans="1:6" x14ac:dyDescent="0.3">
      <c r="A318" s="3" t="s">
        <v>354</v>
      </c>
      <c r="B318" s="2" t="s">
        <v>278</v>
      </c>
      <c r="C318" s="3">
        <v>1</v>
      </c>
      <c r="D318" s="3" t="s">
        <v>344</v>
      </c>
      <c r="E318">
        <v>0</v>
      </c>
    </row>
    <row r="319" spans="1:6" x14ac:dyDescent="0.3">
      <c r="A319" s="3" t="s">
        <v>354</v>
      </c>
      <c r="B319" s="2" t="s">
        <v>39</v>
      </c>
      <c r="C319" s="3">
        <v>1</v>
      </c>
      <c r="D319" s="3" t="s">
        <v>344</v>
      </c>
      <c r="E319">
        <v>0</v>
      </c>
    </row>
    <row r="320" spans="1:6" x14ac:dyDescent="0.3">
      <c r="A320" s="3" t="s">
        <v>354</v>
      </c>
      <c r="B320" s="2" t="s">
        <v>60</v>
      </c>
      <c r="C320" s="3">
        <v>4</v>
      </c>
      <c r="D320" s="3" t="s">
        <v>344</v>
      </c>
      <c r="E320">
        <v>0</v>
      </c>
    </row>
    <row r="321" spans="1:8" x14ac:dyDescent="0.3">
      <c r="A321" s="3" t="s">
        <v>354</v>
      </c>
      <c r="B321" s="2" t="s">
        <v>65</v>
      </c>
      <c r="C321">
        <v>1</v>
      </c>
      <c r="D321" s="3" t="s">
        <v>343</v>
      </c>
      <c r="E321">
        <v>0</v>
      </c>
      <c r="F321" s="2" t="s">
        <v>177</v>
      </c>
    </row>
    <row r="322" spans="1:8" x14ac:dyDescent="0.3">
      <c r="A322" s="3" t="s">
        <v>354</v>
      </c>
      <c r="B322" s="2" t="s">
        <v>34</v>
      </c>
      <c r="C322">
        <v>1</v>
      </c>
      <c r="D322" s="3" t="s">
        <v>343</v>
      </c>
      <c r="E322">
        <v>0</v>
      </c>
    </row>
    <row r="323" spans="1:8" x14ac:dyDescent="0.3">
      <c r="A323" s="3" t="s">
        <v>354</v>
      </c>
      <c r="B323" s="3" t="s">
        <v>334</v>
      </c>
      <c r="C323" s="3">
        <v>11</v>
      </c>
      <c r="D323" s="3" t="s">
        <v>344</v>
      </c>
      <c r="E323">
        <v>0</v>
      </c>
    </row>
    <row r="324" spans="1:8" x14ac:dyDescent="0.3">
      <c r="A324" s="3" t="s">
        <v>354</v>
      </c>
      <c r="B324" s="2" t="s">
        <v>35</v>
      </c>
      <c r="C324">
        <v>16</v>
      </c>
      <c r="D324" s="3" t="s">
        <v>343</v>
      </c>
      <c r="E324">
        <v>0</v>
      </c>
    </row>
    <row r="325" spans="1:8" x14ac:dyDescent="0.3">
      <c r="A325" s="3" t="s">
        <v>354</v>
      </c>
      <c r="B325" s="2" t="s">
        <v>144</v>
      </c>
      <c r="C325">
        <v>2</v>
      </c>
      <c r="D325" s="3" t="s">
        <v>343</v>
      </c>
      <c r="E325">
        <v>0</v>
      </c>
    </row>
    <row r="326" spans="1:8" x14ac:dyDescent="0.3">
      <c r="A326" s="3" t="s">
        <v>354</v>
      </c>
      <c r="B326" s="2" t="s">
        <v>36</v>
      </c>
      <c r="C326" s="3">
        <v>3</v>
      </c>
      <c r="D326" s="3" t="s">
        <v>344</v>
      </c>
      <c r="E326">
        <v>0</v>
      </c>
      <c r="G326">
        <f>SUM(C$285:C$327)</f>
        <v>518</v>
      </c>
      <c r="H326">
        <v>518</v>
      </c>
    </row>
    <row r="327" spans="1:8" x14ac:dyDescent="0.3">
      <c r="A327" s="3" t="s">
        <v>354</v>
      </c>
      <c r="B327" s="2" t="s">
        <v>125</v>
      </c>
      <c r="C327">
        <v>8</v>
      </c>
      <c r="D327" s="3" t="s">
        <v>344</v>
      </c>
      <c r="E327">
        <v>0</v>
      </c>
      <c r="G327">
        <f>COUNT(C$285:C$327)</f>
        <v>43</v>
      </c>
      <c r="H327">
        <v>42</v>
      </c>
    </row>
    <row r="328" spans="1:8" x14ac:dyDescent="0.3">
      <c r="A328" s="3" t="s">
        <v>355</v>
      </c>
      <c r="B328" s="2" t="s">
        <v>154</v>
      </c>
      <c r="C328" s="3">
        <v>1</v>
      </c>
      <c r="D328" s="3" t="s">
        <v>344</v>
      </c>
      <c r="E328">
        <v>0</v>
      </c>
    </row>
    <row r="329" spans="1:8" x14ac:dyDescent="0.3">
      <c r="A329" s="3" t="s">
        <v>355</v>
      </c>
      <c r="B329" s="2" t="s">
        <v>98</v>
      </c>
      <c r="C329" s="3">
        <v>11</v>
      </c>
      <c r="D329" s="3" t="s">
        <v>344</v>
      </c>
      <c r="E329">
        <v>0</v>
      </c>
    </row>
    <row r="330" spans="1:8" x14ac:dyDescent="0.3">
      <c r="A330" s="3" t="s">
        <v>355</v>
      </c>
      <c r="B330" s="2" t="s">
        <v>151</v>
      </c>
      <c r="C330">
        <v>15</v>
      </c>
      <c r="D330" s="3" t="s">
        <v>344</v>
      </c>
      <c r="E330">
        <v>0</v>
      </c>
    </row>
    <row r="331" spans="1:8" x14ac:dyDescent="0.3">
      <c r="A331" s="3" t="s">
        <v>355</v>
      </c>
      <c r="B331" s="3" t="s">
        <v>333</v>
      </c>
      <c r="C331" s="3">
        <v>39</v>
      </c>
      <c r="D331" s="3" t="s">
        <v>344</v>
      </c>
      <c r="E331">
        <v>0</v>
      </c>
    </row>
    <row r="332" spans="1:8" x14ac:dyDescent="0.3">
      <c r="A332" s="3" t="s">
        <v>355</v>
      </c>
      <c r="B332" s="2" t="s">
        <v>20</v>
      </c>
      <c r="C332">
        <v>16</v>
      </c>
      <c r="D332" s="3" t="s">
        <v>344</v>
      </c>
      <c r="E332">
        <v>0</v>
      </c>
    </row>
    <row r="333" spans="1:8" x14ac:dyDescent="0.3">
      <c r="A333" s="3" t="s">
        <v>355</v>
      </c>
      <c r="B333" s="2" t="s">
        <v>138</v>
      </c>
      <c r="C333">
        <v>11</v>
      </c>
      <c r="D333" s="3" t="s">
        <v>344</v>
      </c>
      <c r="E333">
        <v>0</v>
      </c>
    </row>
    <row r="334" spans="1:8" x14ac:dyDescent="0.3">
      <c r="A334" s="3" t="s">
        <v>355</v>
      </c>
      <c r="B334" s="2" t="s">
        <v>82</v>
      </c>
      <c r="C334">
        <v>2</v>
      </c>
      <c r="D334" s="3" t="s">
        <v>344</v>
      </c>
      <c r="E334">
        <v>0</v>
      </c>
    </row>
    <row r="335" spans="1:8" x14ac:dyDescent="0.3">
      <c r="A335" s="3" t="s">
        <v>355</v>
      </c>
      <c r="B335" s="2" t="s">
        <v>32</v>
      </c>
      <c r="C335">
        <v>2</v>
      </c>
      <c r="D335" s="3" t="s">
        <v>343</v>
      </c>
      <c r="E335">
        <v>0</v>
      </c>
    </row>
    <row r="336" spans="1:8" x14ac:dyDescent="0.3">
      <c r="A336" s="3" t="s">
        <v>355</v>
      </c>
      <c r="B336" s="2" t="s">
        <v>9</v>
      </c>
      <c r="C336" s="3">
        <v>44</v>
      </c>
      <c r="D336" s="3" t="s">
        <v>344</v>
      </c>
      <c r="E336">
        <v>0</v>
      </c>
    </row>
    <row r="337" spans="1:8" x14ac:dyDescent="0.3">
      <c r="A337" s="3" t="s">
        <v>355</v>
      </c>
      <c r="B337" s="2" t="s">
        <v>16</v>
      </c>
      <c r="C337" s="3">
        <v>2</v>
      </c>
      <c r="D337" s="3" t="s">
        <v>344</v>
      </c>
      <c r="E337">
        <v>0</v>
      </c>
    </row>
    <row r="338" spans="1:8" x14ac:dyDescent="0.3">
      <c r="A338" s="3" t="s">
        <v>355</v>
      </c>
      <c r="B338" t="s">
        <v>71</v>
      </c>
      <c r="C338">
        <v>27</v>
      </c>
      <c r="D338" s="3" t="s">
        <v>343</v>
      </c>
      <c r="E338">
        <v>0</v>
      </c>
    </row>
    <row r="339" spans="1:8" x14ac:dyDescent="0.3">
      <c r="A339" s="3" t="s">
        <v>355</v>
      </c>
      <c r="B339" s="2" t="s">
        <v>104</v>
      </c>
      <c r="C339">
        <v>18</v>
      </c>
      <c r="D339" s="3" t="s">
        <v>344</v>
      </c>
      <c r="E339">
        <v>0</v>
      </c>
    </row>
    <row r="340" spans="1:8" x14ac:dyDescent="0.3">
      <c r="A340" s="3" t="s">
        <v>355</v>
      </c>
      <c r="B340" s="2" t="s">
        <v>104</v>
      </c>
      <c r="C340">
        <v>1</v>
      </c>
      <c r="D340" s="3" t="s">
        <v>224</v>
      </c>
      <c r="E340">
        <v>0</v>
      </c>
    </row>
    <row r="341" spans="1:8" x14ac:dyDescent="0.3">
      <c r="A341" s="3" t="s">
        <v>355</v>
      </c>
      <c r="B341" s="2" t="s">
        <v>153</v>
      </c>
      <c r="C341">
        <v>7</v>
      </c>
      <c r="D341" s="3" t="s">
        <v>344</v>
      </c>
      <c r="E341">
        <v>0</v>
      </c>
    </row>
    <row r="342" spans="1:8" x14ac:dyDescent="0.3">
      <c r="A342" s="3" t="s">
        <v>355</v>
      </c>
      <c r="B342" s="3" t="s">
        <v>310</v>
      </c>
      <c r="C342" s="3">
        <v>34</v>
      </c>
      <c r="D342" s="3" t="s">
        <v>344</v>
      </c>
      <c r="E342">
        <v>0</v>
      </c>
    </row>
    <row r="343" spans="1:8" x14ac:dyDescent="0.3">
      <c r="A343" s="3" t="s">
        <v>355</v>
      </c>
      <c r="B343" t="s">
        <v>72</v>
      </c>
      <c r="C343">
        <v>17</v>
      </c>
      <c r="D343" s="3" t="s">
        <v>343</v>
      </c>
      <c r="E343">
        <v>0</v>
      </c>
    </row>
    <row r="344" spans="1:8" x14ac:dyDescent="0.3">
      <c r="A344" s="3" t="s">
        <v>355</v>
      </c>
      <c r="B344" s="2" t="s">
        <v>114</v>
      </c>
      <c r="C344">
        <v>8</v>
      </c>
      <c r="D344" s="3" t="s">
        <v>344</v>
      </c>
      <c r="E344">
        <v>0</v>
      </c>
    </row>
    <row r="345" spans="1:8" x14ac:dyDescent="0.3">
      <c r="A345" s="3" t="s">
        <v>355</v>
      </c>
      <c r="B345" s="2" t="s">
        <v>283</v>
      </c>
      <c r="C345">
        <v>1</v>
      </c>
      <c r="D345" s="3" t="s">
        <v>344</v>
      </c>
      <c r="E345">
        <v>0</v>
      </c>
    </row>
    <row r="346" spans="1:8" x14ac:dyDescent="0.3">
      <c r="A346" s="3" t="s">
        <v>355</v>
      </c>
      <c r="B346" s="2" t="s">
        <v>34</v>
      </c>
      <c r="C346">
        <v>1</v>
      </c>
      <c r="D346" s="3" t="s">
        <v>343</v>
      </c>
      <c r="E346">
        <v>0</v>
      </c>
    </row>
    <row r="347" spans="1:8" x14ac:dyDescent="0.3">
      <c r="A347" s="3" t="s">
        <v>355</v>
      </c>
      <c r="B347" s="2" t="s">
        <v>49</v>
      </c>
      <c r="C347" s="3">
        <v>1</v>
      </c>
      <c r="D347" s="3" t="s">
        <v>344</v>
      </c>
      <c r="E347">
        <v>0</v>
      </c>
    </row>
    <row r="348" spans="1:8" x14ac:dyDescent="0.3">
      <c r="A348" s="3" t="s">
        <v>355</v>
      </c>
      <c r="B348" s="3" t="s">
        <v>334</v>
      </c>
      <c r="C348" s="3">
        <v>7</v>
      </c>
      <c r="D348" s="3" t="s">
        <v>344</v>
      </c>
      <c r="E348">
        <v>0</v>
      </c>
    </row>
    <row r="349" spans="1:8" x14ac:dyDescent="0.3">
      <c r="A349" s="3" t="s">
        <v>355</v>
      </c>
      <c r="B349" s="2" t="s">
        <v>35</v>
      </c>
      <c r="C349">
        <v>14</v>
      </c>
      <c r="D349" s="3" t="s">
        <v>343</v>
      </c>
      <c r="E349">
        <v>0</v>
      </c>
      <c r="F349" s="3" t="s">
        <v>299</v>
      </c>
    </row>
    <row r="350" spans="1:8" x14ac:dyDescent="0.3">
      <c r="A350" s="3" t="s">
        <v>355</v>
      </c>
      <c r="B350" s="2" t="s">
        <v>144</v>
      </c>
      <c r="C350">
        <v>1</v>
      </c>
      <c r="D350" s="3" t="s">
        <v>343</v>
      </c>
      <c r="E350">
        <v>0</v>
      </c>
      <c r="G350">
        <f>SUM(C$328:C$351)</f>
        <v>281</v>
      </c>
      <c r="H350">
        <v>281</v>
      </c>
    </row>
    <row r="351" spans="1:8" x14ac:dyDescent="0.3">
      <c r="A351" s="3" t="s">
        <v>355</v>
      </c>
      <c r="B351" s="2" t="s">
        <v>125</v>
      </c>
      <c r="C351">
        <v>1</v>
      </c>
      <c r="D351" s="3" t="s">
        <v>344</v>
      </c>
      <c r="E351">
        <v>0</v>
      </c>
      <c r="G351">
        <f>COUNT(C$328:C$351)</f>
        <v>24</v>
      </c>
      <c r="H351">
        <v>23</v>
      </c>
    </row>
    <row r="352" spans="1:8" x14ac:dyDescent="0.3">
      <c r="A352" s="3" t="s">
        <v>356</v>
      </c>
      <c r="B352" s="2" t="s">
        <v>152</v>
      </c>
      <c r="C352" s="3">
        <v>2</v>
      </c>
      <c r="D352" s="11" t="s">
        <v>344</v>
      </c>
      <c r="E352">
        <v>0</v>
      </c>
    </row>
    <row r="353" spans="1:6" x14ac:dyDescent="0.3">
      <c r="A353" s="3" t="s">
        <v>356</v>
      </c>
      <c r="B353" s="2" t="s">
        <v>30</v>
      </c>
      <c r="C353" s="3">
        <v>1</v>
      </c>
      <c r="D353" s="11" t="s">
        <v>344</v>
      </c>
      <c r="E353">
        <v>0</v>
      </c>
    </row>
    <row r="354" spans="1:6" x14ac:dyDescent="0.3">
      <c r="A354" s="3" t="s">
        <v>356</v>
      </c>
      <c r="B354" s="2" t="s">
        <v>220</v>
      </c>
      <c r="C354" s="3">
        <v>1</v>
      </c>
      <c r="D354" s="11" t="s">
        <v>344</v>
      </c>
      <c r="E354">
        <v>0</v>
      </c>
    </row>
    <row r="355" spans="1:6" x14ac:dyDescent="0.3">
      <c r="A355" s="3" t="s">
        <v>356</v>
      </c>
      <c r="B355" s="2" t="s">
        <v>154</v>
      </c>
      <c r="C355" s="3">
        <v>1</v>
      </c>
      <c r="D355" s="11" t="s">
        <v>344</v>
      </c>
      <c r="E355">
        <v>0</v>
      </c>
    </row>
    <row r="356" spans="1:6" x14ac:dyDescent="0.3">
      <c r="A356" s="3" t="s">
        <v>356</v>
      </c>
      <c r="B356" s="2" t="s">
        <v>147</v>
      </c>
      <c r="C356" s="3">
        <v>6</v>
      </c>
      <c r="D356" s="11" t="s">
        <v>344</v>
      </c>
      <c r="E356">
        <v>0</v>
      </c>
      <c r="F356" s="11"/>
    </row>
    <row r="357" spans="1:6" x14ac:dyDescent="0.3">
      <c r="A357" s="3" t="s">
        <v>356</v>
      </c>
      <c r="B357" s="2" t="s">
        <v>98</v>
      </c>
      <c r="C357" s="3">
        <v>2</v>
      </c>
      <c r="D357" s="11" t="s">
        <v>344</v>
      </c>
      <c r="E357">
        <v>0</v>
      </c>
    </row>
    <row r="358" spans="1:6" x14ac:dyDescent="0.3">
      <c r="A358" s="3" t="s">
        <v>356</v>
      </c>
      <c r="B358" s="2" t="s">
        <v>151</v>
      </c>
      <c r="C358" s="3">
        <v>29</v>
      </c>
      <c r="D358" s="11" t="s">
        <v>344</v>
      </c>
      <c r="E358">
        <v>0</v>
      </c>
    </row>
    <row r="359" spans="1:6" x14ac:dyDescent="0.3">
      <c r="A359" s="3" t="s">
        <v>356</v>
      </c>
      <c r="B359" t="s">
        <v>207</v>
      </c>
      <c r="C359" s="3">
        <v>1</v>
      </c>
      <c r="D359" s="11" t="s">
        <v>344</v>
      </c>
      <c r="E359">
        <v>0</v>
      </c>
    </row>
    <row r="360" spans="1:6" x14ac:dyDescent="0.3">
      <c r="A360" s="3" t="s">
        <v>356</v>
      </c>
      <c r="B360" s="3" t="s">
        <v>333</v>
      </c>
      <c r="C360" s="3">
        <v>50</v>
      </c>
      <c r="D360" s="11" t="s">
        <v>344</v>
      </c>
      <c r="E360">
        <v>0</v>
      </c>
    </row>
    <row r="361" spans="1:6" x14ac:dyDescent="0.3">
      <c r="A361" s="3" t="s">
        <v>356</v>
      </c>
      <c r="B361" s="3" t="s">
        <v>333</v>
      </c>
      <c r="C361" s="3">
        <v>2</v>
      </c>
      <c r="D361" s="11" t="s">
        <v>157</v>
      </c>
      <c r="E361">
        <v>0</v>
      </c>
    </row>
    <row r="362" spans="1:6" x14ac:dyDescent="0.3">
      <c r="A362" s="3" t="s">
        <v>356</v>
      </c>
      <c r="B362" s="2" t="s">
        <v>21</v>
      </c>
      <c r="C362" s="3">
        <v>1</v>
      </c>
      <c r="D362" s="11" t="s">
        <v>344</v>
      </c>
      <c r="E362">
        <v>0</v>
      </c>
    </row>
    <row r="363" spans="1:6" x14ac:dyDescent="0.3">
      <c r="A363" s="3" t="s">
        <v>356</v>
      </c>
      <c r="B363" s="2" t="s">
        <v>6</v>
      </c>
      <c r="C363" s="3">
        <v>1</v>
      </c>
      <c r="D363" s="11" t="s">
        <v>344</v>
      </c>
      <c r="E363">
        <v>0</v>
      </c>
    </row>
    <row r="364" spans="1:6" x14ac:dyDescent="0.3">
      <c r="A364" s="3" t="s">
        <v>356</v>
      </c>
      <c r="B364" s="2" t="s">
        <v>20</v>
      </c>
      <c r="C364" s="3">
        <v>22</v>
      </c>
      <c r="D364" s="11" t="s">
        <v>344</v>
      </c>
      <c r="E364">
        <v>0</v>
      </c>
      <c r="F364" s="11"/>
    </row>
    <row r="365" spans="1:6" x14ac:dyDescent="0.3">
      <c r="A365" s="3" t="s">
        <v>356</v>
      </c>
      <c r="B365" s="2" t="s">
        <v>138</v>
      </c>
      <c r="C365" s="3">
        <v>6</v>
      </c>
      <c r="D365" s="11" t="s">
        <v>344</v>
      </c>
      <c r="E365">
        <v>0</v>
      </c>
    </row>
    <row r="366" spans="1:6" x14ac:dyDescent="0.3">
      <c r="A366" s="3" t="s">
        <v>356</v>
      </c>
      <c r="B366" s="2" t="s">
        <v>148</v>
      </c>
      <c r="C366" s="3">
        <v>2</v>
      </c>
      <c r="D366" s="11" t="s">
        <v>344</v>
      </c>
      <c r="E366">
        <v>0</v>
      </c>
      <c r="F366" s="11" t="s">
        <v>291</v>
      </c>
    </row>
    <row r="367" spans="1:6" x14ac:dyDescent="0.3">
      <c r="A367" s="3" t="s">
        <v>356</v>
      </c>
      <c r="B367" s="2" t="s">
        <v>120</v>
      </c>
      <c r="C367" s="3">
        <v>5</v>
      </c>
      <c r="D367" s="11" t="s">
        <v>344</v>
      </c>
      <c r="E367">
        <v>0</v>
      </c>
    </row>
    <row r="368" spans="1:6" x14ac:dyDescent="0.3">
      <c r="A368" s="3" t="s">
        <v>356</v>
      </c>
      <c r="B368" s="2" t="s">
        <v>32</v>
      </c>
      <c r="C368">
        <v>2</v>
      </c>
      <c r="D368" s="11" t="s">
        <v>343</v>
      </c>
      <c r="E368">
        <v>0</v>
      </c>
    </row>
    <row r="369" spans="1:6" x14ac:dyDescent="0.3">
      <c r="A369" s="3" t="s">
        <v>356</v>
      </c>
      <c r="B369" s="2" t="s">
        <v>85</v>
      </c>
      <c r="C369" s="3">
        <v>8</v>
      </c>
      <c r="D369" s="11" t="s">
        <v>344</v>
      </c>
      <c r="E369">
        <v>0</v>
      </c>
    </row>
    <row r="370" spans="1:6" x14ac:dyDescent="0.3">
      <c r="A370" s="3" t="s">
        <v>356</v>
      </c>
      <c r="B370" s="2" t="s">
        <v>9</v>
      </c>
      <c r="C370" s="3">
        <v>22</v>
      </c>
      <c r="D370" s="11" t="s">
        <v>344</v>
      </c>
      <c r="E370">
        <v>0</v>
      </c>
    </row>
    <row r="371" spans="1:6" x14ac:dyDescent="0.3">
      <c r="A371" s="3" t="s">
        <v>356</v>
      </c>
      <c r="B371" s="2" t="s">
        <v>234</v>
      </c>
      <c r="C371" s="3">
        <v>1</v>
      </c>
      <c r="D371" s="11" t="s">
        <v>344</v>
      </c>
      <c r="E371">
        <v>0</v>
      </c>
    </row>
    <row r="372" spans="1:6" x14ac:dyDescent="0.3">
      <c r="A372" s="3" t="s">
        <v>356</v>
      </c>
      <c r="B372" s="2" t="s">
        <v>16</v>
      </c>
      <c r="C372" s="3">
        <v>20</v>
      </c>
      <c r="D372" s="11" t="s">
        <v>344</v>
      </c>
      <c r="E372">
        <v>0</v>
      </c>
    </row>
    <row r="373" spans="1:6" x14ac:dyDescent="0.3">
      <c r="A373" s="3" t="s">
        <v>356</v>
      </c>
      <c r="B373" s="2" t="s">
        <v>206</v>
      </c>
      <c r="C373" s="3">
        <v>1</v>
      </c>
      <c r="D373" s="11" t="s">
        <v>344</v>
      </c>
      <c r="E373">
        <v>0</v>
      </c>
    </row>
    <row r="374" spans="1:6" x14ac:dyDescent="0.3">
      <c r="A374" s="3" t="s">
        <v>356</v>
      </c>
      <c r="B374" s="2" t="s">
        <v>105</v>
      </c>
      <c r="C374" s="3">
        <v>1</v>
      </c>
      <c r="D374" s="11" t="s">
        <v>344</v>
      </c>
      <c r="E374">
        <v>0</v>
      </c>
    </row>
    <row r="375" spans="1:6" x14ac:dyDescent="0.3">
      <c r="A375" s="3" t="s">
        <v>356</v>
      </c>
      <c r="B375" s="2" t="s">
        <v>136</v>
      </c>
      <c r="C375" s="3">
        <v>4</v>
      </c>
      <c r="D375" s="11" t="s">
        <v>344</v>
      </c>
      <c r="E375">
        <v>0</v>
      </c>
    </row>
    <row r="376" spans="1:6" x14ac:dyDescent="0.3">
      <c r="A376" s="3" t="s">
        <v>356</v>
      </c>
      <c r="B376" s="2" t="s">
        <v>202</v>
      </c>
      <c r="C376" s="3">
        <v>1</v>
      </c>
      <c r="D376" s="11" t="s">
        <v>344</v>
      </c>
      <c r="E376">
        <v>0</v>
      </c>
    </row>
    <row r="377" spans="1:6" x14ac:dyDescent="0.3">
      <c r="A377" s="3" t="s">
        <v>356</v>
      </c>
      <c r="B377" t="s">
        <v>71</v>
      </c>
      <c r="C377">
        <v>26</v>
      </c>
      <c r="D377" s="11" t="s">
        <v>343</v>
      </c>
      <c r="E377">
        <v>0</v>
      </c>
    </row>
    <row r="378" spans="1:6" x14ac:dyDescent="0.3">
      <c r="A378" s="3" t="s">
        <v>356</v>
      </c>
      <c r="B378" s="2" t="s">
        <v>104</v>
      </c>
      <c r="C378" s="3">
        <v>62</v>
      </c>
      <c r="D378" s="11" t="s">
        <v>344</v>
      </c>
      <c r="E378">
        <v>0</v>
      </c>
    </row>
    <row r="379" spans="1:6" x14ac:dyDescent="0.3">
      <c r="A379" s="3" t="s">
        <v>356</v>
      </c>
      <c r="B379" s="2" t="s">
        <v>104</v>
      </c>
      <c r="C379" s="3">
        <v>2</v>
      </c>
      <c r="D379" s="11" t="s">
        <v>224</v>
      </c>
      <c r="E379">
        <v>0</v>
      </c>
    </row>
    <row r="380" spans="1:6" x14ac:dyDescent="0.3">
      <c r="A380" s="3" t="s">
        <v>356</v>
      </c>
      <c r="B380" s="2" t="s">
        <v>153</v>
      </c>
      <c r="C380" s="3">
        <v>2</v>
      </c>
      <c r="D380" s="11" t="s">
        <v>344</v>
      </c>
      <c r="E380">
        <v>0</v>
      </c>
    </row>
    <row r="381" spans="1:6" x14ac:dyDescent="0.3">
      <c r="A381" s="3" t="s">
        <v>356</v>
      </c>
      <c r="B381" s="3" t="s">
        <v>310</v>
      </c>
      <c r="C381" s="3">
        <v>89</v>
      </c>
      <c r="D381" s="11" t="s">
        <v>344</v>
      </c>
      <c r="E381">
        <v>0</v>
      </c>
    </row>
    <row r="382" spans="1:6" x14ac:dyDescent="0.3">
      <c r="A382" s="3" t="s">
        <v>356</v>
      </c>
      <c r="B382" s="3" t="s">
        <v>310</v>
      </c>
      <c r="C382" s="3">
        <v>1</v>
      </c>
      <c r="D382" s="11" t="s">
        <v>157</v>
      </c>
      <c r="E382">
        <v>0</v>
      </c>
    </row>
    <row r="383" spans="1:6" x14ac:dyDescent="0.3">
      <c r="A383" s="3" t="s">
        <v>356</v>
      </c>
      <c r="B383" t="s">
        <v>72</v>
      </c>
      <c r="C383">
        <v>76</v>
      </c>
      <c r="D383" s="11" t="s">
        <v>343</v>
      </c>
      <c r="E383">
        <v>0</v>
      </c>
      <c r="F383" s="10"/>
    </row>
    <row r="384" spans="1:6" x14ac:dyDescent="0.3">
      <c r="A384" s="3" t="s">
        <v>356</v>
      </c>
      <c r="B384" s="2" t="s">
        <v>114</v>
      </c>
      <c r="C384" s="3">
        <v>5</v>
      </c>
      <c r="D384" s="11" t="s">
        <v>344</v>
      </c>
      <c r="E384">
        <v>0</v>
      </c>
    </row>
    <row r="385" spans="1:8" x14ac:dyDescent="0.3">
      <c r="A385" s="3" t="s">
        <v>356</v>
      </c>
      <c r="B385" s="2" t="s">
        <v>150</v>
      </c>
      <c r="C385" s="3">
        <v>1</v>
      </c>
      <c r="D385" s="11" t="s">
        <v>344</v>
      </c>
      <c r="E385">
        <v>0</v>
      </c>
    </row>
    <row r="386" spans="1:8" x14ac:dyDescent="0.3">
      <c r="A386" s="3" t="s">
        <v>356</v>
      </c>
      <c r="B386" s="2" t="s">
        <v>175</v>
      </c>
      <c r="C386" s="3">
        <v>2</v>
      </c>
      <c r="D386" s="11" t="s">
        <v>344</v>
      </c>
      <c r="E386">
        <v>0</v>
      </c>
    </row>
    <row r="387" spans="1:8" x14ac:dyDescent="0.3">
      <c r="A387" s="3" t="s">
        <v>356</v>
      </c>
      <c r="B387" s="2" t="s">
        <v>75</v>
      </c>
      <c r="C387">
        <v>1</v>
      </c>
      <c r="D387" s="11" t="s">
        <v>343</v>
      </c>
      <c r="E387">
        <v>0</v>
      </c>
    </row>
    <row r="388" spans="1:8" x14ac:dyDescent="0.3">
      <c r="A388" s="3" t="s">
        <v>356</v>
      </c>
      <c r="B388" s="2" t="s">
        <v>149</v>
      </c>
      <c r="C388" s="3">
        <v>5</v>
      </c>
      <c r="D388" s="11" t="s">
        <v>344</v>
      </c>
      <c r="E388">
        <v>0</v>
      </c>
    </row>
    <row r="389" spans="1:8" x14ac:dyDescent="0.3">
      <c r="A389" s="3" t="s">
        <v>356</v>
      </c>
      <c r="B389" s="2" t="s">
        <v>39</v>
      </c>
      <c r="C389" s="3">
        <v>2</v>
      </c>
      <c r="D389" s="11" t="s">
        <v>344</v>
      </c>
      <c r="E389">
        <v>0</v>
      </c>
    </row>
    <row r="390" spans="1:8" x14ac:dyDescent="0.3">
      <c r="A390" s="3" t="s">
        <v>356</v>
      </c>
      <c r="B390" s="2" t="s">
        <v>60</v>
      </c>
      <c r="C390" s="3">
        <v>1</v>
      </c>
      <c r="D390" s="11" t="s">
        <v>344</v>
      </c>
      <c r="E390">
        <v>0</v>
      </c>
    </row>
    <row r="391" spans="1:8" x14ac:dyDescent="0.3">
      <c r="A391" s="3" t="s">
        <v>356</v>
      </c>
      <c r="B391" s="2" t="s">
        <v>65</v>
      </c>
      <c r="C391">
        <v>2</v>
      </c>
      <c r="D391" s="11" t="s">
        <v>343</v>
      </c>
      <c r="E391">
        <v>0</v>
      </c>
      <c r="F391" s="20" t="s">
        <v>177</v>
      </c>
    </row>
    <row r="392" spans="1:8" x14ac:dyDescent="0.3">
      <c r="A392" s="3" t="s">
        <v>356</v>
      </c>
      <c r="B392" s="2" t="s">
        <v>49</v>
      </c>
      <c r="C392" s="3">
        <v>3</v>
      </c>
      <c r="D392" s="11" t="s">
        <v>344</v>
      </c>
      <c r="E392">
        <v>0</v>
      </c>
    </row>
    <row r="393" spans="1:8" x14ac:dyDescent="0.3">
      <c r="A393" s="3" t="s">
        <v>356</v>
      </c>
      <c r="B393" s="3" t="s">
        <v>334</v>
      </c>
      <c r="C393" s="3">
        <v>13</v>
      </c>
      <c r="D393" s="11" t="s">
        <v>344</v>
      </c>
      <c r="E393">
        <v>0</v>
      </c>
    </row>
    <row r="394" spans="1:8" x14ac:dyDescent="0.3">
      <c r="A394" s="3" t="s">
        <v>356</v>
      </c>
      <c r="B394" s="2" t="s">
        <v>19</v>
      </c>
      <c r="C394">
        <v>2</v>
      </c>
      <c r="D394" s="11" t="s">
        <v>343</v>
      </c>
      <c r="E394">
        <v>0</v>
      </c>
      <c r="F394" s="10"/>
    </row>
    <row r="395" spans="1:8" x14ac:dyDescent="0.3">
      <c r="A395" s="3" t="s">
        <v>356</v>
      </c>
      <c r="B395" s="2" t="s">
        <v>35</v>
      </c>
      <c r="C395">
        <v>11</v>
      </c>
      <c r="D395" s="11" t="s">
        <v>343</v>
      </c>
      <c r="E395">
        <v>0</v>
      </c>
      <c r="F395" s="10"/>
    </row>
    <row r="396" spans="1:8" x14ac:dyDescent="0.3">
      <c r="A396" s="3" t="s">
        <v>356</v>
      </c>
      <c r="B396" s="2" t="s">
        <v>36</v>
      </c>
      <c r="C396" s="3">
        <v>1</v>
      </c>
      <c r="D396" s="11" t="s">
        <v>344</v>
      </c>
      <c r="E396">
        <v>0</v>
      </c>
      <c r="G396">
        <f>SUM(C$352:C$397)</f>
        <v>512</v>
      </c>
      <c r="H396">
        <v>512</v>
      </c>
    </row>
    <row r="397" spans="1:8" x14ac:dyDescent="0.3">
      <c r="A397" s="3" t="s">
        <v>356</v>
      </c>
      <c r="B397" s="2" t="s">
        <v>125</v>
      </c>
      <c r="C397" s="3">
        <v>13</v>
      </c>
      <c r="D397" s="11" t="s">
        <v>344</v>
      </c>
      <c r="E397">
        <v>0</v>
      </c>
      <c r="G397">
        <f>COUNT(C$352:C$397)</f>
        <v>46</v>
      </c>
      <c r="H397">
        <v>43</v>
      </c>
    </row>
    <row r="398" spans="1:8" x14ac:dyDescent="0.3">
      <c r="A398" s="3" t="s">
        <v>357</v>
      </c>
      <c r="B398" s="2" t="s">
        <v>220</v>
      </c>
      <c r="C398" s="3">
        <v>2</v>
      </c>
      <c r="D398" s="11" t="s">
        <v>344</v>
      </c>
      <c r="E398">
        <v>0</v>
      </c>
    </row>
    <row r="399" spans="1:8" x14ac:dyDescent="0.3">
      <c r="A399" s="3" t="s">
        <v>357</v>
      </c>
      <c r="B399" s="2" t="s">
        <v>56</v>
      </c>
      <c r="C399">
        <v>3</v>
      </c>
      <c r="D399" s="11" t="s">
        <v>343</v>
      </c>
      <c r="E399">
        <v>0</v>
      </c>
    </row>
    <row r="400" spans="1:8" x14ac:dyDescent="0.3">
      <c r="A400" s="3" t="s">
        <v>357</v>
      </c>
      <c r="B400" s="2" t="s">
        <v>147</v>
      </c>
      <c r="C400" s="3">
        <v>3</v>
      </c>
      <c r="D400" s="11" t="s">
        <v>344</v>
      </c>
      <c r="E400">
        <v>0</v>
      </c>
    </row>
    <row r="401" spans="1:6" x14ac:dyDescent="0.3">
      <c r="A401" s="3" t="s">
        <v>357</v>
      </c>
      <c r="B401" s="2" t="s">
        <v>98</v>
      </c>
      <c r="C401" s="3">
        <v>7</v>
      </c>
      <c r="D401" s="11" t="s">
        <v>344</v>
      </c>
      <c r="E401">
        <v>0</v>
      </c>
    </row>
    <row r="402" spans="1:6" x14ac:dyDescent="0.3">
      <c r="A402" s="3" t="s">
        <v>357</v>
      </c>
      <c r="B402" s="2" t="s">
        <v>151</v>
      </c>
      <c r="C402" s="3">
        <v>6</v>
      </c>
      <c r="D402" s="11" t="s">
        <v>344</v>
      </c>
      <c r="E402">
        <v>0</v>
      </c>
    </row>
    <row r="403" spans="1:6" x14ac:dyDescent="0.3">
      <c r="A403" s="3" t="s">
        <v>357</v>
      </c>
      <c r="B403" t="s">
        <v>207</v>
      </c>
      <c r="C403">
        <v>1</v>
      </c>
      <c r="D403" s="11" t="s">
        <v>344</v>
      </c>
      <c r="E403">
        <v>0</v>
      </c>
    </row>
    <row r="404" spans="1:6" x14ac:dyDescent="0.3">
      <c r="A404" s="3" t="s">
        <v>357</v>
      </c>
      <c r="B404" s="3" t="s">
        <v>333</v>
      </c>
      <c r="C404" s="3">
        <v>104</v>
      </c>
      <c r="D404" s="3" t="s">
        <v>344</v>
      </c>
      <c r="E404">
        <v>0</v>
      </c>
    </row>
    <row r="405" spans="1:6" x14ac:dyDescent="0.3">
      <c r="A405" s="3" t="s">
        <v>357</v>
      </c>
      <c r="B405" s="3" t="s">
        <v>333</v>
      </c>
      <c r="C405" s="3">
        <v>1</v>
      </c>
      <c r="D405" s="11" t="s">
        <v>157</v>
      </c>
      <c r="E405">
        <v>0</v>
      </c>
    </row>
    <row r="406" spans="1:6" x14ac:dyDescent="0.3">
      <c r="A406" s="3" t="s">
        <v>357</v>
      </c>
      <c r="B406" s="2" t="s">
        <v>20</v>
      </c>
      <c r="C406" s="3">
        <v>7</v>
      </c>
      <c r="D406" s="11" t="s">
        <v>344</v>
      </c>
      <c r="E406">
        <v>0</v>
      </c>
    </row>
    <row r="407" spans="1:6" x14ac:dyDescent="0.3">
      <c r="A407" s="3" t="s">
        <v>357</v>
      </c>
      <c r="B407" s="2" t="s">
        <v>103</v>
      </c>
      <c r="C407" s="3">
        <v>1</v>
      </c>
      <c r="D407" s="11" t="s">
        <v>344</v>
      </c>
      <c r="E407">
        <v>0</v>
      </c>
    </row>
    <row r="408" spans="1:6" x14ac:dyDescent="0.3">
      <c r="A408" s="3" t="s">
        <v>357</v>
      </c>
      <c r="B408" t="s">
        <v>13</v>
      </c>
      <c r="C408" s="3">
        <v>1</v>
      </c>
      <c r="D408" s="11" t="s">
        <v>344</v>
      </c>
      <c r="E408">
        <v>1</v>
      </c>
      <c r="F408" s="3" t="s">
        <v>368</v>
      </c>
    </row>
    <row r="409" spans="1:6" x14ac:dyDescent="0.3">
      <c r="A409" s="3" t="s">
        <v>357</v>
      </c>
      <c r="B409" s="2" t="s">
        <v>120</v>
      </c>
      <c r="C409" s="3">
        <v>2</v>
      </c>
      <c r="D409" s="11" t="s">
        <v>344</v>
      </c>
      <c r="E409">
        <v>0</v>
      </c>
    </row>
    <row r="410" spans="1:6" x14ac:dyDescent="0.3">
      <c r="A410" s="3" t="s">
        <v>357</v>
      </c>
      <c r="B410" s="2" t="s">
        <v>82</v>
      </c>
      <c r="C410" s="3">
        <v>7</v>
      </c>
      <c r="D410" s="11" t="s">
        <v>344</v>
      </c>
      <c r="E410">
        <v>0</v>
      </c>
    </row>
    <row r="411" spans="1:6" x14ac:dyDescent="0.3">
      <c r="A411" s="3" t="s">
        <v>357</v>
      </c>
      <c r="B411" s="2" t="s">
        <v>32</v>
      </c>
      <c r="C411">
        <v>3</v>
      </c>
      <c r="D411" s="11" t="s">
        <v>343</v>
      </c>
      <c r="E411">
        <v>0</v>
      </c>
    </row>
    <row r="412" spans="1:6" x14ac:dyDescent="0.3">
      <c r="A412" s="3" t="s">
        <v>357</v>
      </c>
      <c r="B412" s="2" t="s">
        <v>85</v>
      </c>
      <c r="C412" s="3">
        <v>40</v>
      </c>
      <c r="D412" s="11" t="s">
        <v>344</v>
      </c>
      <c r="E412">
        <v>0</v>
      </c>
    </row>
    <row r="413" spans="1:6" x14ac:dyDescent="0.3">
      <c r="A413" s="3" t="s">
        <v>357</v>
      </c>
      <c r="B413" s="2" t="s">
        <v>9</v>
      </c>
      <c r="C413" s="3">
        <v>29</v>
      </c>
      <c r="D413" s="11" t="s">
        <v>344</v>
      </c>
      <c r="E413">
        <v>0</v>
      </c>
    </row>
    <row r="414" spans="1:6" x14ac:dyDescent="0.3">
      <c r="A414" s="3" t="s">
        <v>357</v>
      </c>
      <c r="B414" s="2" t="s">
        <v>307</v>
      </c>
      <c r="C414">
        <v>4</v>
      </c>
      <c r="D414" s="11" t="s">
        <v>343</v>
      </c>
      <c r="E414">
        <v>0</v>
      </c>
    </row>
    <row r="415" spans="1:6" x14ac:dyDescent="0.3">
      <c r="A415" s="3" t="s">
        <v>357</v>
      </c>
      <c r="B415" s="2" t="s">
        <v>16</v>
      </c>
      <c r="C415" s="3">
        <v>4</v>
      </c>
      <c r="D415" s="11" t="s">
        <v>344</v>
      </c>
      <c r="E415">
        <v>0</v>
      </c>
    </row>
    <row r="416" spans="1:6" x14ac:dyDescent="0.3">
      <c r="A416" s="3" t="s">
        <v>357</v>
      </c>
      <c r="B416" s="2" t="s">
        <v>136</v>
      </c>
      <c r="C416" s="3">
        <v>1</v>
      </c>
      <c r="D416" s="11" t="s">
        <v>344</v>
      </c>
      <c r="E416">
        <v>0</v>
      </c>
    </row>
    <row r="417" spans="1:8" x14ac:dyDescent="0.3">
      <c r="A417" s="3" t="s">
        <v>357</v>
      </c>
      <c r="B417" s="2" t="s">
        <v>202</v>
      </c>
      <c r="C417" s="3">
        <v>1</v>
      </c>
      <c r="D417" s="11" t="s">
        <v>344</v>
      </c>
      <c r="E417">
        <v>0</v>
      </c>
    </row>
    <row r="418" spans="1:8" x14ac:dyDescent="0.3">
      <c r="A418" s="3" t="s">
        <v>357</v>
      </c>
      <c r="B418" t="s">
        <v>71</v>
      </c>
      <c r="C418">
        <v>70</v>
      </c>
      <c r="D418" s="11" t="s">
        <v>343</v>
      </c>
      <c r="E418">
        <v>0</v>
      </c>
    </row>
    <row r="419" spans="1:8" x14ac:dyDescent="0.3">
      <c r="A419" s="3" t="s">
        <v>357</v>
      </c>
      <c r="B419" s="2" t="s">
        <v>104</v>
      </c>
      <c r="C419" s="3">
        <v>38</v>
      </c>
      <c r="D419" s="11" t="s">
        <v>344</v>
      </c>
      <c r="E419">
        <v>0</v>
      </c>
    </row>
    <row r="420" spans="1:8" x14ac:dyDescent="0.3">
      <c r="A420" s="3" t="s">
        <v>357</v>
      </c>
      <c r="B420" s="3" t="s">
        <v>310</v>
      </c>
      <c r="C420" s="3">
        <v>80</v>
      </c>
      <c r="D420" s="3" t="s">
        <v>344</v>
      </c>
      <c r="E420">
        <v>0</v>
      </c>
    </row>
    <row r="421" spans="1:8" x14ac:dyDescent="0.3">
      <c r="A421" s="3" t="s">
        <v>357</v>
      </c>
      <c r="B421" s="3" t="s">
        <v>310</v>
      </c>
      <c r="C421" s="3">
        <v>3</v>
      </c>
      <c r="D421" s="11" t="s">
        <v>157</v>
      </c>
      <c r="E421">
        <v>0</v>
      </c>
    </row>
    <row r="422" spans="1:8" x14ac:dyDescent="0.3">
      <c r="A422" s="3" t="s">
        <v>357</v>
      </c>
      <c r="B422" t="s">
        <v>72</v>
      </c>
      <c r="C422">
        <v>68</v>
      </c>
      <c r="D422" s="11" t="s">
        <v>343</v>
      </c>
      <c r="E422">
        <v>0</v>
      </c>
    </row>
    <row r="423" spans="1:8" x14ac:dyDescent="0.3">
      <c r="A423" s="3" t="s">
        <v>357</v>
      </c>
      <c r="B423" s="2" t="s">
        <v>114</v>
      </c>
      <c r="C423">
        <v>5</v>
      </c>
      <c r="D423" s="11" t="s">
        <v>344</v>
      </c>
      <c r="E423">
        <v>0</v>
      </c>
    </row>
    <row r="424" spans="1:8" x14ac:dyDescent="0.3">
      <c r="A424" s="3" t="s">
        <v>357</v>
      </c>
      <c r="B424" s="2" t="s">
        <v>149</v>
      </c>
      <c r="C424" s="3">
        <v>2</v>
      </c>
      <c r="D424" s="11" t="s">
        <v>344</v>
      </c>
      <c r="E424">
        <v>0</v>
      </c>
    </row>
    <row r="425" spans="1:8" x14ac:dyDescent="0.3">
      <c r="A425" s="3" t="s">
        <v>357</v>
      </c>
      <c r="B425" s="2" t="s">
        <v>39</v>
      </c>
      <c r="C425" s="3">
        <v>1</v>
      </c>
      <c r="D425" s="11" t="s">
        <v>344</v>
      </c>
      <c r="E425">
        <v>0</v>
      </c>
    </row>
    <row r="426" spans="1:8" x14ac:dyDescent="0.3">
      <c r="A426" s="3" t="s">
        <v>357</v>
      </c>
      <c r="B426" s="2" t="s">
        <v>60</v>
      </c>
      <c r="C426" s="3">
        <v>1</v>
      </c>
      <c r="D426" s="11" t="s">
        <v>344</v>
      </c>
      <c r="E426">
        <v>0</v>
      </c>
    </row>
    <row r="427" spans="1:8" x14ac:dyDescent="0.3">
      <c r="A427" s="3" t="s">
        <v>357</v>
      </c>
      <c r="B427" s="2" t="s">
        <v>49</v>
      </c>
      <c r="C427" s="3">
        <v>1</v>
      </c>
      <c r="D427" s="11" t="s">
        <v>344</v>
      </c>
      <c r="E427">
        <v>0</v>
      </c>
    </row>
    <row r="428" spans="1:8" x14ac:dyDescent="0.3">
      <c r="A428" s="3" t="s">
        <v>357</v>
      </c>
      <c r="B428" s="3" t="s">
        <v>334</v>
      </c>
      <c r="C428" s="3">
        <v>16</v>
      </c>
      <c r="D428" s="3" t="s">
        <v>344</v>
      </c>
      <c r="E428">
        <v>0</v>
      </c>
    </row>
    <row r="429" spans="1:8" x14ac:dyDescent="0.3">
      <c r="A429" s="3" t="s">
        <v>357</v>
      </c>
      <c r="B429" s="2" t="s">
        <v>35</v>
      </c>
      <c r="C429">
        <v>4</v>
      </c>
      <c r="D429" s="11" t="s">
        <v>343</v>
      </c>
      <c r="E429">
        <v>0</v>
      </c>
    </row>
    <row r="430" spans="1:8" x14ac:dyDescent="0.3">
      <c r="A430" s="3" t="s">
        <v>357</v>
      </c>
      <c r="B430" s="2" t="s">
        <v>144</v>
      </c>
      <c r="C430">
        <v>5</v>
      </c>
      <c r="D430" s="11" t="s">
        <v>343</v>
      </c>
      <c r="E430">
        <v>0</v>
      </c>
      <c r="G430">
        <f>SUM(C$398:C$431)</f>
        <v>522</v>
      </c>
      <c r="H430">
        <v>522</v>
      </c>
    </row>
    <row r="431" spans="1:8" x14ac:dyDescent="0.3">
      <c r="A431" s="3" t="s">
        <v>357</v>
      </c>
      <c r="B431" s="2" t="s">
        <v>125</v>
      </c>
      <c r="C431" s="3">
        <v>1</v>
      </c>
      <c r="D431" s="11" t="s">
        <v>344</v>
      </c>
      <c r="E431">
        <v>0</v>
      </c>
      <c r="G431">
        <f>COUNT(C$398:C$431)</f>
        <v>34</v>
      </c>
      <c r="H431">
        <v>32</v>
      </c>
    </row>
    <row r="432" spans="1:8" x14ac:dyDescent="0.3">
      <c r="A432" s="3" t="s">
        <v>358</v>
      </c>
      <c r="B432" s="2" t="s">
        <v>152</v>
      </c>
      <c r="C432" s="3">
        <v>1</v>
      </c>
      <c r="D432" s="11" t="s">
        <v>344</v>
      </c>
      <c r="E432">
        <v>0</v>
      </c>
    </row>
    <row r="433" spans="1:5" x14ac:dyDescent="0.3">
      <c r="A433" s="3" t="s">
        <v>358</v>
      </c>
      <c r="B433" s="2" t="s">
        <v>30</v>
      </c>
      <c r="C433" s="3">
        <v>2</v>
      </c>
      <c r="D433" s="3" t="s">
        <v>344</v>
      </c>
      <c r="E433">
        <v>0</v>
      </c>
    </row>
    <row r="434" spans="1:5" x14ac:dyDescent="0.3">
      <c r="A434" s="3" t="s">
        <v>358</v>
      </c>
      <c r="B434" s="2" t="s">
        <v>147</v>
      </c>
      <c r="C434" s="3">
        <v>6</v>
      </c>
      <c r="D434" s="11" t="s">
        <v>344</v>
      </c>
      <c r="E434">
        <v>0</v>
      </c>
    </row>
    <row r="435" spans="1:5" x14ac:dyDescent="0.3">
      <c r="A435" s="3" t="s">
        <v>358</v>
      </c>
      <c r="B435" s="2" t="s">
        <v>98</v>
      </c>
      <c r="C435" s="3">
        <v>5</v>
      </c>
      <c r="D435" s="3" t="s">
        <v>344</v>
      </c>
      <c r="E435">
        <v>0</v>
      </c>
    </row>
    <row r="436" spans="1:5" x14ac:dyDescent="0.3">
      <c r="A436" s="3" t="s">
        <v>358</v>
      </c>
      <c r="B436" s="2" t="s">
        <v>151</v>
      </c>
      <c r="C436" s="3">
        <v>7</v>
      </c>
      <c r="D436" s="3" t="s">
        <v>344</v>
      </c>
      <c r="E436">
        <v>0</v>
      </c>
    </row>
    <row r="437" spans="1:5" x14ac:dyDescent="0.3">
      <c r="A437" s="3" t="s">
        <v>358</v>
      </c>
      <c r="B437" s="3" t="s">
        <v>333</v>
      </c>
      <c r="C437" s="3">
        <v>103</v>
      </c>
      <c r="D437" s="3" t="s">
        <v>344</v>
      </c>
      <c r="E437">
        <v>0</v>
      </c>
    </row>
    <row r="438" spans="1:5" x14ac:dyDescent="0.3">
      <c r="A438" s="3" t="s">
        <v>358</v>
      </c>
      <c r="B438" s="2" t="s">
        <v>170</v>
      </c>
      <c r="C438" s="3">
        <v>1</v>
      </c>
      <c r="D438" s="11" t="s">
        <v>344</v>
      </c>
      <c r="E438">
        <v>0</v>
      </c>
    </row>
    <row r="439" spans="1:5" x14ac:dyDescent="0.3">
      <c r="A439" s="3" t="s">
        <v>358</v>
      </c>
      <c r="B439" s="2" t="s">
        <v>6</v>
      </c>
      <c r="C439" s="3">
        <v>1</v>
      </c>
      <c r="D439" s="3" t="s">
        <v>344</v>
      </c>
      <c r="E439">
        <v>0</v>
      </c>
    </row>
    <row r="440" spans="1:5" x14ac:dyDescent="0.3">
      <c r="A440" s="3" t="s">
        <v>358</v>
      </c>
      <c r="B440" s="2" t="s">
        <v>20</v>
      </c>
      <c r="C440" s="3">
        <v>4</v>
      </c>
      <c r="D440" s="3" t="s">
        <v>344</v>
      </c>
      <c r="E440">
        <v>0</v>
      </c>
    </row>
    <row r="441" spans="1:5" x14ac:dyDescent="0.3">
      <c r="A441" s="3" t="s">
        <v>358</v>
      </c>
      <c r="B441" s="2" t="s">
        <v>103</v>
      </c>
      <c r="C441" s="3">
        <v>2</v>
      </c>
      <c r="D441" s="3" t="s">
        <v>344</v>
      </c>
      <c r="E441">
        <v>0</v>
      </c>
    </row>
    <row r="442" spans="1:5" x14ac:dyDescent="0.3">
      <c r="A442" s="3" t="s">
        <v>358</v>
      </c>
      <c r="B442" s="2" t="s">
        <v>120</v>
      </c>
      <c r="C442" s="3">
        <v>2</v>
      </c>
      <c r="D442" s="11" t="s">
        <v>344</v>
      </c>
      <c r="E442">
        <v>0</v>
      </c>
    </row>
    <row r="443" spans="1:5" x14ac:dyDescent="0.3">
      <c r="A443" s="3" t="s">
        <v>358</v>
      </c>
      <c r="B443" s="2" t="s">
        <v>82</v>
      </c>
      <c r="C443" s="3">
        <v>4</v>
      </c>
      <c r="D443" s="3" t="s">
        <v>344</v>
      </c>
      <c r="E443">
        <v>0</v>
      </c>
    </row>
    <row r="444" spans="1:5" x14ac:dyDescent="0.3">
      <c r="A444" s="3" t="s">
        <v>358</v>
      </c>
      <c r="B444" s="2" t="s">
        <v>32</v>
      </c>
      <c r="C444">
        <v>3</v>
      </c>
      <c r="D444" s="3" t="s">
        <v>343</v>
      </c>
      <c r="E444">
        <v>0</v>
      </c>
    </row>
    <row r="445" spans="1:5" x14ac:dyDescent="0.3">
      <c r="A445" s="3" t="s">
        <v>358</v>
      </c>
      <c r="B445" s="2" t="s">
        <v>85</v>
      </c>
      <c r="C445" s="3">
        <v>22</v>
      </c>
      <c r="D445" s="3" t="s">
        <v>344</v>
      </c>
      <c r="E445">
        <v>0</v>
      </c>
    </row>
    <row r="446" spans="1:5" x14ac:dyDescent="0.3">
      <c r="A446" s="3" t="s">
        <v>358</v>
      </c>
      <c r="B446" s="2" t="s">
        <v>9</v>
      </c>
      <c r="C446" s="3">
        <v>49</v>
      </c>
      <c r="D446" s="11" t="s">
        <v>344</v>
      </c>
      <c r="E446">
        <v>0</v>
      </c>
    </row>
    <row r="447" spans="1:5" x14ac:dyDescent="0.3">
      <c r="A447" s="3" t="s">
        <v>358</v>
      </c>
      <c r="B447" s="2" t="s">
        <v>196</v>
      </c>
      <c r="C447" s="3">
        <v>3</v>
      </c>
      <c r="D447" s="3" t="s">
        <v>344</v>
      </c>
      <c r="E447">
        <v>0</v>
      </c>
    </row>
    <row r="448" spans="1:5" x14ac:dyDescent="0.3">
      <c r="A448" s="3" t="s">
        <v>358</v>
      </c>
      <c r="B448" s="2" t="s">
        <v>307</v>
      </c>
      <c r="C448">
        <v>2</v>
      </c>
      <c r="D448" s="3" t="s">
        <v>343</v>
      </c>
      <c r="E448">
        <v>0</v>
      </c>
    </row>
    <row r="449" spans="1:5" x14ac:dyDescent="0.3">
      <c r="A449" s="3" t="s">
        <v>358</v>
      </c>
      <c r="B449" s="2" t="s">
        <v>234</v>
      </c>
      <c r="C449">
        <v>1</v>
      </c>
      <c r="D449" s="3" t="s">
        <v>344</v>
      </c>
      <c r="E449">
        <v>0</v>
      </c>
    </row>
    <row r="450" spans="1:5" x14ac:dyDescent="0.3">
      <c r="A450" s="3" t="s">
        <v>358</v>
      </c>
      <c r="B450" s="2" t="s">
        <v>16</v>
      </c>
      <c r="C450" s="3">
        <v>2</v>
      </c>
      <c r="D450" s="3" t="s">
        <v>344</v>
      </c>
      <c r="E450">
        <v>0</v>
      </c>
    </row>
    <row r="451" spans="1:5" x14ac:dyDescent="0.3">
      <c r="A451" s="3" t="s">
        <v>358</v>
      </c>
      <c r="B451" s="2" t="s">
        <v>206</v>
      </c>
      <c r="C451" s="3">
        <v>5</v>
      </c>
      <c r="D451" s="11" t="s">
        <v>344</v>
      </c>
      <c r="E451">
        <v>0</v>
      </c>
    </row>
    <row r="452" spans="1:5" x14ac:dyDescent="0.3">
      <c r="A452" s="3" t="s">
        <v>358</v>
      </c>
      <c r="B452" s="2" t="s">
        <v>136</v>
      </c>
      <c r="C452" s="3">
        <v>4</v>
      </c>
      <c r="D452" s="11" t="s">
        <v>344</v>
      </c>
      <c r="E452">
        <v>0</v>
      </c>
    </row>
    <row r="453" spans="1:5" x14ac:dyDescent="0.3">
      <c r="A453" s="3" t="s">
        <v>358</v>
      </c>
      <c r="B453" s="2" t="s">
        <v>202</v>
      </c>
      <c r="C453" s="3">
        <v>2</v>
      </c>
      <c r="D453" s="3" t="s">
        <v>344</v>
      </c>
      <c r="E453">
        <v>0</v>
      </c>
    </row>
    <row r="454" spans="1:5" x14ac:dyDescent="0.3">
      <c r="A454" s="3" t="s">
        <v>358</v>
      </c>
      <c r="B454" t="s">
        <v>71</v>
      </c>
      <c r="C454">
        <v>59</v>
      </c>
      <c r="D454" s="11" t="s">
        <v>343</v>
      </c>
      <c r="E454">
        <v>0</v>
      </c>
    </row>
    <row r="455" spans="1:5" x14ac:dyDescent="0.3">
      <c r="A455" s="3" t="s">
        <v>358</v>
      </c>
      <c r="B455" s="2" t="s">
        <v>104</v>
      </c>
      <c r="C455" s="3">
        <v>17</v>
      </c>
      <c r="D455" s="3" t="s">
        <v>344</v>
      </c>
      <c r="E455">
        <v>0</v>
      </c>
    </row>
    <row r="456" spans="1:5" x14ac:dyDescent="0.3">
      <c r="A456" s="3" t="s">
        <v>358</v>
      </c>
      <c r="B456" s="2" t="s">
        <v>104</v>
      </c>
      <c r="C456" s="3">
        <v>2</v>
      </c>
      <c r="D456" s="3" t="s">
        <v>224</v>
      </c>
      <c r="E456">
        <v>0</v>
      </c>
    </row>
    <row r="457" spans="1:5" x14ac:dyDescent="0.3">
      <c r="A457" s="3" t="s">
        <v>358</v>
      </c>
      <c r="B457" s="3" t="s">
        <v>310</v>
      </c>
      <c r="C457" s="3">
        <v>113</v>
      </c>
      <c r="D457" s="3" t="s">
        <v>344</v>
      </c>
      <c r="E457">
        <v>0</v>
      </c>
    </row>
    <row r="458" spans="1:5" x14ac:dyDescent="0.3">
      <c r="A458" s="3" t="s">
        <v>358</v>
      </c>
      <c r="B458" s="3" t="s">
        <v>310</v>
      </c>
      <c r="C458" s="3">
        <v>3</v>
      </c>
      <c r="D458" s="3" t="s">
        <v>157</v>
      </c>
      <c r="E458">
        <v>0</v>
      </c>
    </row>
    <row r="459" spans="1:5" x14ac:dyDescent="0.3">
      <c r="A459" s="3" t="s">
        <v>358</v>
      </c>
      <c r="B459" t="s">
        <v>72</v>
      </c>
      <c r="C459">
        <v>33</v>
      </c>
      <c r="D459" s="3" t="s">
        <v>343</v>
      </c>
      <c r="E459">
        <v>0</v>
      </c>
    </row>
    <row r="460" spans="1:5" x14ac:dyDescent="0.3">
      <c r="A460" s="3" t="s">
        <v>358</v>
      </c>
      <c r="B460" s="2" t="s">
        <v>114</v>
      </c>
      <c r="C460">
        <v>3</v>
      </c>
      <c r="D460" s="11" t="s">
        <v>344</v>
      </c>
      <c r="E460">
        <v>0</v>
      </c>
    </row>
    <row r="461" spans="1:5" x14ac:dyDescent="0.3">
      <c r="A461" s="3" t="s">
        <v>358</v>
      </c>
      <c r="B461" s="2" t="s">
        <v>204</v>
      </c>
      <c r="C461" s="3">
        <v>1</v>
      </c>
      <c r="D461" s="3" t="s">
        <v>344</v>
      </c>
      <c r="E461">
        <v>0</v>
      </c>
    </row>
    <row r="462" spans="1:5" x14ac:dyDescent="0.3">
      <c r="A462" s="3" t="s">
        <v>358</v>
      </c>
      <c r="B462" s="2" t="s">
        <v>175</v>
      </c>
      <c r="C462" s="3">
        <v>1</v>
      </c>
      <c r="D462" s="11" t="s">
        <v>344</v>
      </c>
      <c r="E462">
        <v>0</v>
      </c>
    </row>
    <row r="463" spans="1:5" x14ac:dyDescent="0.3">
      <c r="A463" s="3" t="s">
        <v>358</v>
      </c>
      <c r="B463" s="2" t="s">
        <v>39</v>
      </c>
      <c r="C463" s="3">
        <v>1</v>
      </c>
      <c r="D463" s="3" t="s">
        <v>344</v>
      </c>
      <c r="E463">
        <v>0</v>
      </c>
    </row>
    <row r="464" spans="1:5" x14ac:dyDescent="0.3">
      <c r="A464" s="3" t="s">
        <v>358</v>
      </c>
      <c r="B464" s="2" t="s">
        <v>283</v>
      </c>
      <c r="C464" s="3">
        <v>1</v>
      </c>
      <c r="D464" s="11" t="s">
        <v>344</v>
      </c>
      <c r="E464">
        <v>0</v>
      </c>
    </row>
    <row r="465" spans="1:8" x14ac:dyDescent="0.3">
      <c r="A465" s="3" t="s">
        <v>358</v>
      </c>
      <c r="B465" s="2" t="s">
        <v>34</v>
      </c>
      <c r="C465">
        <v>1</v>
      </c>
      <c r="D465" s="11" t="s">
        <v>343</v>
      </c>
      <c r="E465">
        <v>0</v>
      </c>
    </row>
    <row r="466" spans="1:8" x14ac:dyDescent="0.3">
      <c r="A466" s="3" t="s">
        <v>358</v>
      </c>
      <c r="B466" s="2" t="s">
        <v>49</v>
      </c>
      <c r="C466" s="3">
        <v>1</v>
      </c>
      <c r="D466" s="3" t="s">
        <v>344</v>
      </c>
      <c r="E466">
        <v>0</v>
      </c>
    </row>
    <row r="467" spans="1:8" x14ac:dyDescent="0.3">
      <c r="A467" s="3" t="s">
        <v>358</v>
      </c>
      <c r="B467" s="3" t="s">
        <v>334</v>
      </c>
      <c r="C467" s="3">
        <v>27</v>
      </c>
      <c r="D467" s="3" t="s">
        <v>344</v>
      </c>
      <c r="E467">
        <v>0</v>
      </c>
    </row>
    <row r="468" spans="1:8" x14ac:dyDescent="0.3">
      <c r="A468" s="3" t="s">
        <v>358</v>
      </c>
      <c r="B468" s="2" t="s">
        <v>19</v>
      </c>
      <c r="C468">
        <v>1</v>
      </c>
      <c r="D468" s="3" t="s">
        <v>343</v>
      </c>
      <c r="E468">
        <v>0</v>
      </c>
      <c r="G468">
        <f>SUM(C$432:C$469)</f>
        <v>502</v>
      </c>
      <c r="H468">
        <v>502</v>
      </c>
    </row>
    <row r="469" spans="1:8" x14ac:dyDescent="0.3">
      <c r="A469" s="3" t="s">
        <v>358</v>
      </c>
      <c r="B469" s="2" t="s">
        <v>35</v>
      </c>
      <c r="C469">
        <v>7</v>
      </c>
      <c r="D469" s="11" t="s">
        <v>343</v>
      </c>
      <c r="E469">
        <v>0</v>
      </c>
      <c r="G469">
        <f>COUNT(C$432:C$469)</f>
        <v>38</v>
      </c>
      <c r="H469">
        <v>36</v>
      </c>
    </row>
    <row r="470" spans="1:8" x14ac:dyDescent="0.3">
      <c r="A470" s="3" t="s">
        <v>359</v>
      </c>
      <c r="B470" s="2" t="s">
        <v>44</v>
      </c>
      <c r="C470">
        <v>1</v>
      </c>
      <c r="D470" s="3" t="s">
        <v>344</v>
      </c>
      <c r="E470">
        <v>0</v>
      </c>
    </row>
    <row r="471" spans="1:8" x14ac:dyDescent="0.3">
      <c r="A471" s="3" t="s">
        <v>359</v>
      </c>
      <c r="B471" s="2" t="s">
        <v>152</v>
      </c>
      <c r="C471">
        <v>1</v>
      </c>
      <c r="D471" s="3" t="s">
        <v>344</v>
      </c>
      <c r="E471">
        <v>0</v>
      </c>
    </row>
    <row r="472" spans="1:8" x14ac:dyDescent="0.3">
      <c r="A472" s="3" t="s">
        <v>359</v>
      </c>
      <c r="B472" s="2" t="s">
        <v>220</v>
      </c>
      <c r="C472">
        <v>5</v>
      </c>
      <c r="D472" s="3" t="s">
        <v>344</v>
      </c>
      <c r="E472">
        <v>0</v>
      </c>
    </row>
    <row r="473" spans="1:8" x14ac:dyDescent="0.3">
      <c r="A473" s="3" t="s">
        <v>359</v>
      </c>
      <c r="B473" s="2" t="s">
        <v>56</v>
      </c>
      <c r="C473">
        <v>4</v>
      </c>
      <c r="D473" s="3" t="s">
        <v>343</v>
      </c>
      <c r="E473">
        <v>0</v>
      </c>
    </row>
    <row r="474" spans="1:8" x14ac:dyDescent="0.3">
      <c r="A474" s="3" t="s">
        <v>359</v>
      </c>
      <c r="B474" s="2" t="s">
        <v>154</v>
      </c>
      <c r="C474">
        <v>1</v>
      </c>
      <c r="D474" s="3" t="s">
        <v>344</v>
      </c>
      <c r="E474">
        <v>0</v>
      </c>
    </row>
    <row r="475" spans="1:8" x14ac:dyDescent="0.3">
      <c r="A475" s="3" t="s">
        <v>359</v>
      </c>
      <c r="B475" s="2" t="s">
        <v>147</v>
      </c>
      <c r="C475">
        <v>23</v>
      </c>
      <c r="D475" s="3" t="s">
        <v>344</v>
      </c>
      <c r="E475">
        <v>0</v>
      </c>
    </row>
    <row r="476" spans="1:8" x14ac:dyDescent="0.3">
      <c r="A476" s="3" t="s">
        <v>359</v>
      </c>
      <c r="B476" s="2" t="s">
        <v>98</v>
      </c>
      <c r="C476">
        <v>5</v>
      </c>
      <c r="D476" s="3" t="s">
        <v>344</v>
      </c>
      <c r="E476">
        <v>0</v>
      </c>
    </row>
    <row r="477" spans="1:8" x14ac:dyDescent="0.3">
      <c r="A477" s="3" t="s">
        <v>359</v>
      </c>
      <c r="B477" s="2" t="s">
        <v>151</v>
      </c>
      <c r="C477">
        <v>22</v>
      </c>
      <c r="D477" s="3" t="s">
        <v>344</v>
      </c>
      <c r="E477">
        <v>0</v>
      </c>
    </row>
    <row r="478" spans="1:8" x14ac:dyDescent="0.3">
      <c r="A478" s="3" t="s">
        <v>359</v>
      </c>
      <c r="B478" s="3" t="s">
        <v>333</v>
      </c>
      <c r="C478" s="3">
        <v>35</v>
      </c>
      <c r="D478" s="3" t="s">
        <v>344</v>
      </c>
      <c r="E478">
        <v>0</v>
      </c>
    </row>
    <row r="479" spans="1:8" x14ac:dyDescent="0.3">
      <c r="A479" s="3" t="s">
        <v>359</v>
      </c>
      <c r="B479" s="3" t="s">
        <v>333</v>
      </c>
      <c r="C479" s="3">
        <v>1</v>
      </c>
      <c r="D479" s="3" t="s">
        <v>157</v>
      </c>
      <c r="E479">
        <v>0</v>
      </c>
    </row>
    <row r="480" spans="1:8" x14ac:dyDescent="0.3">
      <c r="A480" s="3" t="s">
        <v>359</v>
      </c>
      <c r="B480" s="2" t="s">
        <v>249</v>
      </c>
      <c r="C480">
        <v>3</v>
      </c>
      <c r="D480" s="3" t="s">
        <v>344</v>
      </c>
      <c r="E480">
        <v>0</v>
      </c>
    </row>
    <row r="481" spans="1:6" x14ac:dyDescent="0.3">
      <c r="A481" s="3" t="s">
        <v>359</v>
      </c>
      <c r="B481" s="2" t="s">
        <v>20</v>
      </c>
      <c r="C481">
        <v>22</v>
      </c>
      <c r="D481" s="3" t="s">
        <v>344</v>
      </c>
      <c r="E481">
        <v>0</v>
      </c>
    </row>
    <row r="482" spans="1:6" x14ac:dyDescent="0.3">
      <c r="A482" s="3" t="s">
        <v>359</v>
      </c>
      <c r="B482" s="2" t="s">
        <v>138</v>
      </c>
      <c r="C482">
        <v>10</v>
      </c>
      <c r="D482" s="3" t="s">
        <v>344</v>
      </c>
      <c r="E482">
        <v>0</v>
      </c>
      <c r="F482" s="3"/>
    </row>
    <row r="483" spans="1:6" x14ac:dyDescent="0.3">
      <c r="A483" s="3" t="s">
        <v>359</v>
      </c>
      <c r="B483" s="2" t="s">
        <v>103</v>
      </c>
      <c r="C483">
        <v>2</v>
      </c>
      <c r="D483" s="3" t="s">
        <v>344</v>
      </c>
      <c r="E483">
        <v>0</v>
      </c>
    </row>
    <row r="484" spans="1:6" x14ac:dyDescent="0.3">
      <c r="A484" s="3" t="s">
        <v>359</v>
      </c>
      <c r="B484" s="2" t="s">
        <v>209</v>
      </c>
      <c r="C484">
        <v>1</v>
      </c>
      <c r="D484" s="3" t="s">
        <v>344</v>
      </c>
      <c r="E484">
        <v>0</v>
      </c>
    </row>
    <row r="485" spans="1:6" x14ac:dyDescent="0.3">
      <c r="A485" s="3" t="s">
        <v>359</v>
      </c>
      <c r="B485" s="2" t="s">
        <v>120</v>
      </c>
      <c r="C485">
        <v>26</v>
      </c>
      <c r="D485" s="3" t="s">
        <v>344</v>
      </c>
      <c r="E485">
        <v>0</v>
      </c>
    </row>
    <row r="486" spans="1:6" x14ac:dyDescent="0.3">
      <c r="A486" s="3" t="s">
        <v>359</v>
      </c>
      <c r="B486" s="2" t="s">
        <v>120</v>
      </c>
      <c r="C486">
        <v>2</v>
      </c>
      <c r="D486" s="3" t="s">
        <v>157</v>
      </c>
      <c r="E486">
        <v>0</v>
      </c>
    </row>
    <row r="487" spans="1:6" x14ac:dyDescent="0.3">
      <c r="A487" s="3" t="s">
        <v>359</v>
      </c>
      <c r="B487" s="2" t="s">
        <v>82</v>
      </c>
      <c r="C487">
        <v>4</v>
      </c>
      <c r="D487" s="3" t="s">
        <v>344</v>
      </c>
      <c r="E487">
        <v>0</v>
      </c>
    </row>
    <row r="488" spans="1:6" x14ac:dyDescent="0.3">
      <c r="A488" s="3" t="s">
        <v>359</v>
      </c>
      <c r="B488" s="2" t="s">
        <v>82</v>
      </c>
      <c r="C488">
        <v>1</v>
      </c>
      <c r="D488" s="3" t="s">
        <v>157</v>
      </c>
      <c r="E488">
        <v>0</v>
      </c>
    </row>
    <row r="489" spans="1:6" x14ac:dyDescent="0.3">
      <c r="A489" s="3" t="s">
        <v>359</v>
      </c>
      <c r="B489" s="2" t="s">
        <v>32</v>
      </c>
      <c r="C489">
        <v>5</v>
      </c>
      <c r="D489" s="3" t="s">
        <v>343</v>
      </c>
      <c r="E489">
        <v>0</v>
      </c>
    </row>
    <row r="490" spans="1:6" x14ac:dyDescent="0.3">
      <c r="A490" s="3" t="s">
        <v>359</v>
      </c>
      <c r="B490" s="2" t="s">
        <v>85</v>
      </c>
      <c r="C490">
        <v>4</v>
      </c>
      <c r="D490" s="3" t="s">
        <v>344</v>
      </c>
      <c r="E490">
        <v>0</v>
      </c>
    </row>
    <row r="491" spans="1:6" x14ac:dyDescent="0.3">
      <c r="A491" s="3" t="s">
        <v>359</v>
      </c>
      <c r="B491" s="2" t="s">
        <v>9</v>
      </c>
      <c r="C491">
        <v>26</v>
      </c>
      <c r="D491" s="3" t="s">
        <v>344</v>
      </c>
      <c r="E491">
        <v>0</v>
      </c>
    </row>
    <row r="492" spans="1:6" x14ac:dyDescent="0.3">
      <c r="A492" s="3" t="s">
        <v>359</v>
      </c>
      <c r="B492" s="2" t="s">
        <v>196</v>
      </c>
      <c r="C492">
        <v>1</v>
      </c>
      <c r="D492" s="3" t="s">
        <v>344</v>
      </c>
      <c r="E492">
        <v>0</v>
      </c>
    </row>
    <row r="493" spans="1:6" x14ac:dyDescent="0.3">
      <c r="A493" s="3" t="s">
        <v>359</v>
      </c>
      <c r="B493" s="2" t="s">
        <v>16</v>
      </c>
      <c r="C493">
        <v>7</v>
      </c>
      <c r="D493" s="3" t="s">
        <v>344</v>
      </c>
      <c r="E493">
        <v>0</v>
      </c>
    </row>
    <row r="494" spans="1:6" x14ac:dyDescent="0.3">
      <c r="A494" s="3" t="s">
        <v>359</v>
      </c>
      <c r="B494" s="2" t="s">
        <v>206</v>
      </c>
      <c r="C494">
        <v>3</v>
      </c>
      <c r="D494" s="3" t="s">
        <v>344</v>
      </c>
      <c r="E494">
        <v>0</v>
      </c>
    </row>
    <row r="495" spans="1:6" x14ac:dyDescent="0.3">
      <c r="A495" s="3" t="s">
        <v>359</v>
      </c>
      <c r="B495" s="2" t="s">
        <v>105</v>
      </c>
      <c r="C495">
        <v>4</v>
      </c>
      <c r="D495" s="3" t="s">
        <v>344</v>
      </c>
      <c r="E495">
        <v>0</v>
      </c>
    </row>
    <row r="496" spans="1:6" x14ac:dyDescent="0.3">
      <c r="A496" s="3" t="s">
        <v>359</v>
      </c>
      <c r="B496" s="2" t="s">
        <v>369</v>
      </c>
      <c r="C496">
        <v>1</v>
      </c>
      <c r="D496" s="3" t="s">
        <v>344</v>
      </c>
      <c r="E496">
        <v>0</v>
      </c>
    </row>
    <row r="497" spans="1:5" x14ac:dyDescent="0.3">
      <c r="A497" s="3" t="s">
        <v>359</v>
      </c>
      <c r="B497" s="2" t="s">
        <v>136</v>
      </c>
      <c r="C497">
        <v>6</v>
      </c>
      <c r="D497" s="3" t="s">
        <v>344</v>
      </c>
      <c r="E497">
        <v>0</v>
      </c>
    </row>
    <row r="498" spans="1:5" x14ac:dyDescent="0.3">
      <c r="A498" s="3" t="s">
        <v>359</v>
      </c>
      <c r="B498" s="2" t="s">
        <v>136</v>
      </c>
      <c r="C498">
        <v>3</v>
      </c>
      <c r="D498" s="3" t="s">
        <v>157</v>
      </c>
      <c r="E498">
        <v>0</v>
      </c>
    </row>
    <row r="499" spans="1:5" x14ac:dyDescent="0.3">
      <c r="A499" s="3" t="s">
        <v>359</v>
      </c>
      <c r="B499" t="s">
        <v>71</v>
      </c>
      <c r="C499">
        <v>26</v>
      </c>
      <c r="D499" s="3" t="s">
        <v>343</v>
      </c>
      <c r="E499">
        <v>0</v>
      </c>
    </row>
    <row r="500" spans="1:5" x14ac:dyDescent="0.3">
      <c r="A500" s="3" t="s">
        <v>359</v>
      </c>
      <c r="B500" s="2" t="s">
        <v>104</v>
      </c>
      <c r="C500">
        <v>51</v>
      </c>
      <c r="D500" s="3" t="s">
        <v>344</v>
      </c>
      <c r="E500">
        <v>0</v>
      </c>
    </row>
    <row r="501" spans="1:5" x14ac:dyDescent="0.3">
      <c r="A501" s="3" t="s">
        <v>359</v>
      </c>
      <c r="B501" s="2" t="s">
        <v>104</v>
      </c>
      <c r="C501">
        <v>5</v>
      </c>
      <c r="D501" s="3" t="s">
        <v>224</v>
      </c>
      <c r="E501">
        <v>0</v>
      </c>
    </row>
    <row r="502" spans="1:5" x14ac:dyDescent="0.3">
      <c r="A502" s="3" t="s">
        <v>359</v>
      </c>
      <c r="B502" s="2" t="s">
        <v>153</v>
      </c>
      <c r="C502">
        <v>14</v>
      </c>
      <c r="D502" s="3" t="s">
        <v>344</v>
      </c>
      <c r="E502">
        <v>0</v>
      </c>
    </row>
    <row r="503" spans="1:5" x14ac:dyDescent="0.3">
      <c r="A503" s="3" t="s">
        <v>359</v>
      </c>
      <c r="B503" s="3" t="s">
        <v>310</v>
      </c>
      <c r="C503" s="3">
        <v>60</v>
      </c>
      <c r="D503" s="3" t="s">
        <v>344</v>
      </c>
      <c r="E503">
        <v>0</v>
      </c>
    </row>
    <row r="504" spans="1:5" x14ac:dyDescent="0.3">
      <c r="A504" s="3" t="s">
        <v>359</v>
      </c>
      <c r="B504" s="3" t="s">
        <v>310</v>
      </c>
      <c r="C504" s="3">
        <v>2</v>
      </c>
      <c r="D504" s="3" t="s">
        <v>157</v>
      </c>
      <c r="E504">
        <v>0</v>
      </c>
    </row>
    <row r="505" spans="1:5" x14ac:dyDescent="0.3">
      <c r="A505" s="3" t="s">
        <v>359</v>
      </c>
      <c r="B505" t="s">
        <v>72</v>
      </c>
      <c r="C505">
        <v>53</v>
      </c>
      <c r="D505" s="3" t="s">
        <v>343</v>
      </c>
      <c r="E505">
        <v>0</v>
      </c>
    </row>
    <row r="506" spans="1:5" x14ac:dyDescent="0.3">
      <c r="A506" s="3" t="s">
        <v>359</v>
      </c>
      <c r="B506" s="2" t="s">
        <v>114</v>
      </c>
      <c r="C506">
        <v>9</v>
      </c>
      <c r="D506" s="3" t="s">
        <v>344</v>
      </c>
      <c r="E506">
        <v>0</v>
      </c>
    </row>
    <row r="507" spans="1:5" x14ac:dyDescent="0.3">
      <c r="A507" s="3" t="s">
        <v>359</v>
      </c>
      <c r="B507" s="2" t="s">
        <v>204</v>
      </c>
      <c r="C507">
        <v>1</v>
      </c>
      <c r="D507" s="3" t="s">
        <v>344</v>
      </c>
      <c r="E507">
        <v>0</v>
      </c>
    </row>
    <row r="508" spans="1:5" x14ac:dyDescent="0.3">
      <c r="A508" s="3" t="s">
        <v>359</v>
      </c>
      <c r="B508" s="2" t="s">
        <v>150</v>
      </c>
      <c r="C508">
        <v>4</v>
      </c>
      <c r="D508" s="3" t="s">
        <v>344</v>
      </c>
      <c r="E508">
        <v>0</v>
      </c>
    </row>
    <row r="509" spans="1:5" x14ac:dyDescent="0.3">
      <c r="A509" s="3" t="s">
        <v>359</v>
      </c>
      <c r="B509" s="2" t="s">
        <v>175</v>
      </c>
      <c r="C509">
        <v>2</v>
      </c>
      <c r="D509" s="3" t="s">
        <v>344</v>
      </c>
      <c r="E509">
        <v>0</v>
      </c>
    </row>
    <row r="510" spans="1:5" x14ac:dyDescent="0.3">
      <c r="A510" s="3" t="s">
        <v>359</v>
      </c>
      <c r="B510" s="2" t="s">
        <v>149</v>
      </c>
      <c r="C510">
        <v>5</v>
      </c>
      <c r="D510" s="3" t="s">
        <v>344</v>
      </c>
      <c r="E510">
        <v>0</v>
      </c>
    </row>
    <row r="511" spans="1:5" x14ac:dyDescent="0.3">
      <c r="A511" s="3" t="s">
        <v>359</v>
      </c>
      <c r="B511" s="2" t="s">
        <v>39</v>
      </c>
      <c r="C511">
        <v>5</v>
      </c>
      <c r="D511" s="3" t="s">
        <v>344</v>
      </c>
      <c r="E511">
        <v>0</v>
      </c>
    </row>
    <row r="512" spans="1:5" x14ac:dyDescent="0.3">
      <c r="A512" s="3" t="s">
        <v>359</v>
      </c>
      <c r="B512" s="2" t="s">
        <v>60</v>
      </c>
      <c r="C512">
        <v>1</v>
      </c>
      <c r="D512" s="3" t="s">
        <v>344</v>
      </c>
      <c r="E512">
        <v>0</v>
      </c>
    </row>
    <row r="513" spans="1:8" x14ac:dyDescent="0.3">
      <c r="A513" s="3" t="s">
        <v>359</v>
      </c>
      <c r="B513" s="2" t="s">
        <v>65</v>
      </c>
      <c r="C513">
        <v>2</v>
      </c>
      <c r="D513" s="3" t="s">
        <v>343</v>
      </c>
      <c r="E513">
        <v>0</v>
      </c>
      <c r="F513" s="2" t="s">
        <v>370</v>
      </c>
    </row>
    <row r="514" spans="1:8" x14ac:dyDescent="0.3">
      <c r="A514" s="3" t="s">
        <v>359</v>
      </c>
      <c r="B514" s="2" t="s">
        <v>34</v>
      </c>
      <c r="C514">
        <v>3</v>
      </c>
      <c r="D514" s="3" t="s">
        <v>343</v>
      </c>
      <c r="E514">
        <v>0</v>
      </c>
    </row>
    <row r="515" spans="1:8" x14ac:dyDescent="0.3">
      <c r="A515" s="3" t="s">
        <v>359</v>
      </c>
      <c r="B515" s="2" t="s">
        <v>49</v>
      </c>
      <c r="C515">
        <v>7</v>
      </c>
      <c r="D515" s="3" t="s">
        <v>344</v>
      </c>
      <c r="E515">
        <v>0</v>
      </c>
      <c r="F515" s="3" t="s">
        <v>330</v>
      </c>
    </row>
    <row r="516" spans="1:8" x14ac:dyDescent="0.3">
      <c r="A516" s="3" t="s">
        <v>359</v>
      </c>
      <c r="B516" s="3" t="s">
        <v>334</v>
      </c>
      <c r="C516" s="3">
        <v>3</v>
      </c>
      <c r="D516" s="3" t="s">
        <v>344</v>
      </c>
      <c r="E516">
        <v>0</v>
      </c>
    </row>
    <row r="517" spans="1:8" x14ac:dyDescent="0.3">
      <c r="A517" s="3" t="s">
        <v>359</v>
      </c>
      <c r="B517" s="2" t="s">
        <v>19</v>
      </c>
      <c r="C517">
        <v>1</v>
      </c>
      <c r="D517" s="3" t="s">
        <v>343</v>
      </c>
      <c r="E517">
        <v>0</v>
      </c>
      <c r="F517" s="3" t="s">
        <v>316</v>
      </c>
    </row>
    <row r="518" spans="1:8" x14ac:dyDescent="0.3">
      <c r="A518" s="3" t="s">
        <v>359</v>
      </c>
      <c r="B518" s="2" t="s">
        <v>35</v>
      </c>
      <c r="C518">
        <v>20</v>
      </c>
      <c r="D518" s="3" t="s">
        <v>343</v>
      </c>
      <c r="E518">
        <v>0</v>
      </c>
    </row>
    <row r="519" spans="1:8" x14ac:dyDescent="0.3">
      <c r="A519" s="3" t="s">
        <v>359</v>
      </c>
      <c r="B519" s="2" t="s">
        <v>144</v>
      </c>
      <c r="C519">
        <v>3</v>
      </c>
      <c r="D519" s="3" t="s">
        <v>343</v>
      </c>
      <c r="E519">
        <v>0</v>
      </c>
    </row>
    <row r="520" spans="1:8" x14ac:dyDescent="0.3">
      <c r="A520" s="3" t="s">
        <v>359</v>
      </c>
      <c r="B520" s="2" t="s">
        <v>36</v>
      </c>
      <c r="C520">
        <v>13</v>
      </c>
      <c r="D520" s="3" t="s">
        <v>344</v>
      </c>
      <c r="E520">
        <v>0</v>
      </c>
      <c r="G520">
        <f>SUM(C$470:C$521)</f>
        <v>529</v>
      </c>
      <c r="H520">
        <v>529</v>
      </c>
    </row>
    <row r="521" spans="1:8" x14ac:dyDescent="0.3">
      <c r="A521" s="3" t="s">
        <v>359</v>
      </c>
      <c r="B521" s="2" t="s">
        <v>125</v>
      </c>
      <c r="C521">
        <v>10</v>
      </c>
      <c r="D521" s="3" t="s">
        <v>344</v>
      </c>
      <c r="E521">
        <v>0</v>
      </c>
      <c r="G521">
        <f>COUNT(C$470:C$521)</f>
        <v>52</v>
      </c>
      <c r="H521">
        <v>45</v>
      </c>
    </row>
    <row r="522" spans="1:8" x14ac:dyDescent="0.3">
      <c r="A522" s="3" t="s">
        <v>360</v>
      </c>
      <c r="B522" s="2" t="s">
        <v>30</v>
      </c>
      <c r="C522">
        <v>1</v>
      </c>
      <c r="D522" s="3" t="s">
        <v>344</v>
      </c>
      <c r="E522">
        <v>0</v>
      </c>
    </row>
    <row r="523" spans="1:8" x14ac:dyDescent="0.3">
      <c r="A523" s="3" t="s">
        <v>360</v>
      </c>
      <c r="B523" s="2" t="s">
        <v>220</v>
      </c>
      <c r="C523">
        <v>4</v>
      </c>
      <c r="D523" s="3" t="s">
        <v>344</v>
      </c>
      <c r="E523">
        <v>0</v>
      </c>
    </row>
    <row r="524" spans="1:8" x14ac:dyDescent="0.3">
      <c r="A524" s="3" t="s">
        <v>360</v>
      </c>
      <c r="B524" s="2" t="s">
        <v>154</v>
      </c>
      <c r="C524">
        <v>1</v>
      </c>
      <c r="D524" s="3" t="s">
        <v>344</v>
      </c>
      <c r="E524">
        <v>0</v>
      </c>
    </row>
    <row r="525" spans="1:8" x14ac:dyDescent="0.3">
      <c r="A525" s="3" t="s">
        <v>360</v>
      </c>
      <c r="B525" s="2" t="s">
        <v>147</v>
      </c>
      <c r="C525">
        <v>15</v>
      </c>
      <c r="D525" s="3" t="s">
        <v>344</v>
      </c>
      <c r="E525">
        <v>0</v>
      </c>
    </row>
    <row r="526" spans="1:8" x14ac:dyDescent="0.3">
      <c r="A526" s="3" t="s">
        <v>360</v>
      </c>
      <c r="B526" s="2" t="s">
        <v>98</v>
      </c>
      <c r="C526">
        <v>9</v>
      </c>
      <c r="D526" s="3" t="s">
        <v>344</v>
      </c>
      <c r="E526">
        <v>0</v>
      </c>
    </row>
    <row r="527" spans="1:8" x14ac:dyDescent="0.3">
      <c r="A527" s="3" t="s">
        <v>360</v>
      </c>
      <c r="B527" s="2" t="s">
        <v>151</v>
      </c>
      <c r="C527">
        <v>18</v>
      </c>
      <c r="D527" s="3" t="s">
        <v>344</v>
      </c>
      <c r="E527">
        <v>0</v>
      </c>
    </row>
    <row r="528" spans="1:8" x14ac:dyDescent="0.3">
      <c r="A528" s="3" t="s">
        <v>360</v>
      </c>
      <c r="B528" s="3" t="s">
        <v>333</v>
      </c>
      <c r="C528" s="3">
        <v>25</v>
      </c>
      <c r="D528" s="3" t="s">
        <v>344</v>
      </c>
      <c r="E528">
        <v>0</v>
      </c>
    </row>
    <row r="529" spans="1:6" x14ac:dyDescent="0.3">
      <c r="A529" s="3" t="s">
        <v>360</v>
      </c>
      <c r="B529" s="2" t="s">
        <v>137</v>
      </c>
      <c r="C529">
        <v>1</v>
      </c>
      <c r="D529" s="3" t="s">
        <v>344</v>
      </c>
      <c r="E529">
        <v>0</v>
      </c>
      <c r="F529" s="2" t="s">
        <v>327</v>
      </c>
    </row>
    <row r="530" spans="1:6" x14ac:dyDescent="0.3">
      <c r="A530" s="3" t="s">
        <v>360</v>
      </c>
      <c r="B530" s="2" t="s">
        <v>170</v>
      </c>
      <c r="C530">
        <v>2</v>
      </c>
      <c r="D530" s="3" t="s">
        <v>344</v>
      </c>
      <c r="E530">
        <v>0</v>
      </c>
    </row>
    <row r="531" spans="1:6" x14ac:dyDescent="0.3">
      <c r="A531" s="3" t="s">
        <v>360</v>
      </c>
      <c r="B531" s="2" t="s">
        <v>6</v>
      </c>
      <c r="C531">
        <v>1</v>
      </c>
      <c r="D531" s="3" t="s">
        <v>344</v>
      </c>
      <c r="E531">
        <v>0</v>
      </c>
    </row>
    <row r="532" spans="1:6" x14ac:dyDescent="0.3">
      <c r="A532" s="3" t="s">
        <v>360</v>
      </c>
      <c r="B532" s="2" t="s">
        <v>20</v>
      </c>
      <c r="C532">
        <v>31</v>
      </c>
      <c r="D532" s="3" t="s">
        <v>344</v>
      </c>
      <c r="E532">
        <v>0</v>
      </c>
    </row>
    <row r="533" spans="1:6" x14ac:dyDescent="0.3">
      <c r="A533" s="3" t="s">
        <v>360</v>
      </c>
      <c r="B533" s="2" t="s">
        <v>138</v>
      </c>
      <c r="C533">
        <v>4</v>
      </c>
      <c r="D533" s="3" t="s">
        <v>344</v>
      </c>
      <c r="E533">
        <v>0</v>
      </c>
      <c r="F533" s="3"/>
    </row>
    <row r="534" spans="1:6" x14ac:dyDescent="0.3">
      <c r="A534" s="3" t="s">
        <v>360</v>
      </c>
      <c r="B534" s="3" t="s">
        <v>58</v>
      </c>
      <c r="C534">
        <v>1</v>
      </c>
      <c r="D534" s="3" t="s">
        <v>344</v>
      </c>
      <c r="E534">
        <v>1</v>
      </c>
      <c r="F534" s="3" t="s">
        <v>331</v>
      </c>
    </row>
    <row r="535" spans="1:6" x14ac:dyDescent="0.3">
      <c r="A535" s="3" t="s">
        <v>360</v>
      </c>
      <c r="B535" s="2" t="s">
        <v>106</v>
      </c>
      <c r="C535">
        <v>1</v>
      </c>
      <c r="D535" s="3" t="s">
        <v>344</v>
      </c>
      <c r="E535">
        <v>0</v>
      </c>
    </row>
    <row r="536" spans="1:6" x14ac:dyDescent="0.3">
      <c r="A536" s="3" t="s">
        <v>360</v>
      </c>
      <c r="B536" s="2" t="s">
        <v>103</v>
      </c>
      <c r="C536">
        <v>1</v>
      </c>
      <c r="D536" s="3" t="s">
        <v>344</v>
      </c>
      <c r="E536">
        <v>0</v>
      </c>
    </row>
    <row r="537" spans="1:6" x14ac:dyDescent="0.3">
      <c r="A537" s="3" t="s">
        <v>360</v>
      </c>
      <c r="B537" s="2" t="s">
        <v>209</v>
      </c>
      <c r="C537">
        <v>1</v>
      </c>
      <c r="D537" s="3" t="s">
        <v>344</v>
      </c>
      <c r="E537">
        <v>0</v>
      </c>
    </row>
    <row r="538" spans="1:6" x14ac:dyDescent="0.3">
      <c r="A538" s="3" t="s">
        <v>360</v>
      </c>
      <c r="B538" s="2" t="s">
        <v>265</v>
      </c>
      <c r="C538">
        <v>7</v>
      </c>
      <c r="D538" s="3" t="s">
        <v>344</v>
      </c>
      <c r="E538">
        <v>0</v>
      </c>
    </row>
    <row r="539" spans="1:6" x14ac:dyDescent="0.3">
      <c r="A539" s="3" t="s">
        <v>360</v>
      </c>
      <c r="B539" s="2" t="s">
        <v>120</v>
      </c>
      <c r="C539">
        <v>5</v>
      </c>
      <c r="D539" s="3" t="s">
        <v>344</v>
      </c>
      <c r="E539">
        <v>0</v>
      </c>
    </row>
    <row r="540" spans="1:6" x14ac:dyDescent="0.3">
      <c r="A540" s="3" t="s">
        <v>360</v>
      </c>
      <c r="B540" s="2" t="s">
        <v>82</v>
      </c>
      <c r="C540">
        <v>3</v>
      </c>
      <c r="D540" s="3" t="s">
        <v>344</v>
      </c>
      <c r="E540">
        <v>0</v>
      </c>
    </row>
    <row r="541" spans="1:6" x14ac:dyDescent="0.3">
      <c r="A541" s="3" t="s">
        <v>360</v>
      </c>
      <c r="B541" s="2" t="s">
        <v>145</v>
      </c>
      <c r="C541">
        <v>2</v>
      </c>
      <c r="D541" s="3" t="s">
        <v>343</v>
      </c>
      <c r="E541">
        <v>0</v>
      </c>
    </row>
    <row r="542" spans="1:6" x14ac:dyDescent="0.3">
      <c r="A542" s="3" t="s">
        <v>360</v>
      </c>
      <c r="B542" s="2" t="s">
        <v>242</v>
      </c>
      <c r="C542">
        <v>2</v>
      </c>
      <c r="D542" s="3" t="s">
        <v>344</v>
      </c>
      <c r="E542">
        <v>0</v>
      </c>
    </row>
    <row r="543" spans="1:6" x14ac:dyDescent="0.3">
      <c r="A543" s="3" t="s">
        <v>360</v>
      </c>
      <c r="B543" s="2" t="s">
        <v>32</v>
      </c>
      <c r="C543">
        <v>7</v>
      </c>
      <c r="D543" s="3" t="s">
        <v>343</v>
      </c>
      <c r="E543">
        <v>0</v>
      </c>
    </row>
    <row r="544" spans="1:6" x14ac:dyDescent="0.3">
      <c r="A544" s="3" t="s">
        <v>360</v>
      </c>
      <c r="B544" s="2" t="s">
        <v>85</v>
      </c>
      <c r="C544">
        <v>18</v>
      </c>
      <c r="D544" s="3" t="s">
        <v>344</v>
      </c>
      <c r="E544">
        <v>0</v>
      </c>
    </row>
    <row r="545" spans="1:5" x14ac:dyDescent="0.3">
      <c r="A545" s="3" t="s">
        <v>360</v>
      </c>
      <c r="B545" s="2" t="s">
        <v>9</v>
      </c>
      <c r="C545">
        <v>36</v>
      </c>
      <c r="D545" s="3" t="s">
        <v>344</v>
      </c>
      <c r="E545">
        <v>0</v>
      </c>
    </row>
    <row r="546" spans="1:5" x14ac:dyDescent="0.3">
      <c r="A546" s="3" t="s">
        <v>360</v>
      </c>
      <c r="B546" s="2" t="s">
        <v>196</v>
      </c>
      <c r="C546">
        <v>1</v>
      </c>
      <c r="D546" s="3" t="s">
        <v>157</v>
      </c>
      <c r="E546">
        <v>0</v>
      </c>
    </row>
    <row r="547" spans="1:5" x14ac:dyDescent="0.3">
      <c r="A547" s="3" t="s">
        <v>360</v>
      </c>
      <c r="B547" s="2" t="s">
        <v>307</v>
      </c>
      <c r="C547">
        <v>2</v>
      </c>
      <c r="D547" s="3" t="s">
        <v>343</v>
      </c>
      <c r="E547">
        <v>0</v>
      </c>
    </row>
    <row r="548" spans="1:5" x14ac:dyDescent="0.3">
      <c r="A548" s="3" t="s">
        <v>360</v>
      </c>
      <c r="B548" s="2" t="s">
        <v>234</v>
      </c>
      <c r="C548">
        <v>1</v>
      </c>
      <c r="D548" s="3" t="s">
        <v>344</v>
      </c>
      <c r="E548">
        <v>0</v>
      </c>
    </row>
    <row r="549" spans="1:5" x14ac:dyDescent="0.3">
      <c r="A549" s="3" t="s">
        <v>360</v>
      </c>
      <c r="B549" s="2" t="s">
        <v>16</v>
      </c>
      <c r="C549">
        <v>5</v>
      </c>
      <c r="D549" s="3" t="s">
        <v>344</v>
      </c>
      <c r="E549">
        <v>0</v>
      </c>
    </row>
    <row r="550" spans="1:5" x14ac:dyDescent="0.3">
      <c r="A550" s="3" t="s">
        <v>360</v>
      </c>
      <c r="B550" s="2" t="s">
        <v>206</v>
      </c>
      <c r="C550">
        <v>4</v>
      </c>
      <c r="D550" s="3" t="s">
        <v>344</v>
      </c>
      <c r="E550">
        <v>0</v>
      </c>
    </row>
    <row r="551" spans="1:5" x14ac:dyDescent="0.3">
      <c r="A551" s="3" t="s">
        <v>360</v>
      </c>
      <c r="B551" s="2" t="s">
        <v>105</v>
      </c>
      <c r="C551">
        <v>6</v>
      </c>
      <c r="D551" s="3" t="s">
        <v>344</v>
      </c>
      <c r="E551">
        <v>0</v>
      </c>
    </row>
    <row r="552" spans="1:5" x14ac:dyDescent="0.3">
      <c r="A552" s="3" t="s">
        <v>360</v>
      </c>
      <c r="B552" s="2" t="s">
        <v>369</v>
      </c>
      <c r="C552">
        <v>2</v>
      </c>
      <c r="D552" s="3" t="s">
        <v>344</v>
      </c>
      <c r="E552">
        <v>0</v>
      </c>
    </row>
    <row r="553" spans="1:5" x14ac:dyDescent="0.3">
      <c r="A553" s="3" t="s">
        <v>360</v>
      </c>
      <c r="B553" s="2" t="s">
        <v>136</v>
      </c>
      <c r="C553">
        <v>1</v>
      </c>
      <c r="D553" s="3" t="s">
        <v>344</v>
      </c>
      <c r="E553">
        <v>0</v>
      </c>
    </row>
    <row r="554" spans="1:5" x14ac:dyDescent="0.3">
      <c r="A554" s="3" t="s">
        <v>360</v>
      </c>
      <c r="B554" s="2" t="s">
        <v>136</v>
      </c>
      <c r="C554">
        <v>3</v>
      </c>
      <c r="D554" s="3" t="s">
        <v>157</v>
      </c>
      <c r="E554">
        <v>0</v>
      </c>
    </row>
    <row r="555" spans="1:5" x14ac:dyDescent="0.3">
      <c r="A555" s="3" t="s">
        <v>360</v>
      </c>
      <c r="B555" t="s">
        <v>71</v>
      </c>
      <c r="C555">
        <v>26</v>
      </c>
      <c r="D555" s="3" t="s">
        <v>343</v>
      </c>
      <c r="E555">
        <v>0</v>
      </c>
    </row>
    <row r="556" spans="1:5" x14ac:dyDescent="0.3">
      <c r="A556" s="3" t="s">
        <v>360</v>
      </c>
      <c r="B556" s="2" t="s">
        <v>104</v>
      </c>
      <c r="C556">
        <v>53</v>
      </c>
      <c r="D556" s="3" t="s">
        <v>344</v>
      </c>
      <c r="E556">
        <v>0</v>
      </c>
    </row>
    <row r="557" spans="1:5" x14ac:dyDescent="0.3">
      <c r="A557" s="3" t="s">
        <v>360</v>
      </c>
      <c r="B557" s="2" t="s">
        <v>104</v>
      </c>
      <c r="C557">
        <v>2</v>
      </c>
      <c r="D557" s="3" t="s">
        <v>224</v>
      </c>
      <c r="E557">
        <v>0</v>
      </c>
    </row>
    <row r="558" spans="1:5" x14ac:dyDescent="0.3">
      <c r="A558" s="3" t="s">
        <v>360</v>
      </c>
      <c r="B558" s="2" t="s">
        <v>153</v>
      </c>
      <c r="C558">
        <v>9</v>
      </c>
      <c r="D558" s="3" t="s">
        <v>344</v>
      </c>
      <c r="E558">
        <v>0</v>
      </c>
    </row>
    <row r="559" spans="1:5" x14ac:dyDescent="0.3">
      <c r="A559" s="3" t="s">
        <v>360</v>
      </c>
      <c r="B559" s="2" t="s">
        <v>153</v>
      </c>
      <c r="C559">
        <v>1</v>
      </c>
      <c r="D559" s="3" t="s">
        <v>224</v>
      </c>
      <c r="E559">
        <v>0</v>
      </c>
    </row>
    <row r="560" spans="1:5" x14ac:dyDescent="0.3">
      <c r="A560" s="3" t="s">
        <v>360</v>
      </c>
      <c r="B560" s="3" t="s">
        <v>310</v>
      </c>
      <c r="C560" s="3">
        <v>65</v>
      </c>
      <c r="D560" s="3" t="s">
        <v>344</v>
      </c>
      <c r="E560">
        <v>0</v>
      </c>
    </row>
    <row r="561" spans="1:8" x14ac:dyDescent="0.3">
      <c r="A561" s="3" t="s">
        <v>360</v>
      </c>
      <c r="B561" s="3" t="s">
        <v>310</v>
      </c>
      <c r="C561" s="3">
        <v>3</v>
      </c>
      <c r="D561" s="3" t="s">
        <v>157</v>
      </c>
      <c r="E561">
        <v>0</v>
      </c>
    </row>
    <row r="562" spans="1:8" x14ac:dyDescent="0.3">
      <c r="A562" s="3" t="s">
        <v>360</v>
      </c>
      <c r="B562" t="s">
        <v>72</v>
      </c>
      <c r="C562">
        <v>57</v>
      </c>
      <c r="D562" s="3" t="s">
        <v>343</v>
      </c>
      <c r="E562">
        <v>0</v>
      </c>
    </row>
    <row r="563" spans="1:8" x14ac:dyDescent="0.3">
      <c r="A563" s="3" t="s">
        <v>360</v>
      </c>
      <c r="B563" s="2" t="s">
        <v>114</v>
      </c>
      <c r="C563">
        <v>16</v>
      </c>
      <c r="D563" s="3" t="s">
        <v>344</v>
      </c>
      <c r="E563">
        <v>0</v>
      </c>
    </row>
    <row r="564" spans="1:8" x14ac:dyDescent="0.3">
      <c r="A564" s="3" t="s">
        <v>360</v>
      </c>
      <c r="B564" s="2" t="s">
        <v>150</v>
      </c>
      <c r="C564">
        <v>1</v>
      </c>
      <c r="D564" s="3" t="s">
        <v>344</v>
      </c>
      <c r="E564">
        <v>0</v>
      </c>
    </row>
    <row r="565" spans="1:8" x14ac:dyDescent="0.3">
      <c r="A565" s="3" t="s">
        <v>360</v>
      </c>
      <c r="B565" s="2" t="s">
        <v>175</v>
      </c>
      <c r="C565">
        <v>5</v>
      </c>
      <c r="D565" s="3" t="s">
        <v>344</v>
      </c>
      <c r="E565">
        <v>0</v>
      </c>
    </row>
    <row r="566" spans="1:8" x14ac:dyDescent="0.3">
      <c r="A566" s="3" t="s">
        <v>360</v>
      </c>
      <c r="B566" s="2" t="s">
        <v>324</v>
      </c>
      <c r="C566">
        <v>1</v>
      </c>
      <c r="D566" s="3" t="s">
        <v>343</v>
      </c>
      <c r="E566">
        <v>0</v>
      </c>
    </row>
    <row r="567" spans="1:8" x14ac:dyDescent="0.3">
      <c r="A567" s="3" t="s">
        <v>360</v>
      </c>
      <c r="B567" s="2" t="s">
        <v>328</v>
      </c>
      <c r="C567">
        <v>1</v>
      </c>
      <c r="D567" s="3" t="s">
        <v>344</v>
      </c>
      <c r="E567">
        <v>0</v>
      </c>
    </row>
    <row r="568" spans="1:8" x14ac:dyDescent="0.3">
      <c r="A568" s="3" t="s">
        <v>360</v>
      </c>
      <c r="B568" s="2" t="s">
        <v>149</v>
      </c>
      <c r="C568">
        <v>3</v>
      </c>
      <c r="D568" s="3" t="s">
        <v>344</v>
      </c>
      <c r="E568">
        <v>0</v>
      </c>
    </row>
    <row r="569" spans="1:8" x14ac:dyDescent="0.3">
      <c r="A569" s="3" t="s">
        <v>360</v>
      </c>
      <c r="B569" s="2" t="s">
        <v>39</v>
      </c>
      <c r="C569">
        <v>5</v>
      </c>
      <c r="D569" s="3" t="s">
        <v>344</v>
      </c>
      <c r="E569">
        <v>0</v>
      </c>
    </row>
    <row r="570" spans="1:8" x14ac:dyDescent="0.3">
      <c r="A570" s="3" t="s">
        <v>360</v>
      </c>
      <c r="B570" s="2" t="s">
        <v>65</v>
      </c>
      <c r="C570">
        <v>3</v>
      </c>
      <c r="D570" s="3" t="s">
        <v>343</v>
      </c>
      <c r="E570">
        <v>0</v>
      </c>
    </row>
    <row r="571" spans="1:8" x14ac:dyDescent="0.3">
      <c r="A571" s="3" t="s">
        <v>360</v>
      </c>
      <c r="B571" s="3" t="s">
        <v>334</v>
      </c>
      <c r="C571" s="3">
        <v>18</v>
      </c>
      <c r="D571" s="3" t="s">
        <v>344</v>
      </c>
      <c r="E571">
        <v>0</v>
      </c>
    </row>
    <row r="572" spans="1:8" x14ac:dyDescent="0.3">
      <c r="A572" s="3" t="s">
        <v>360</v>
      </c>
      <c r="B572" s="2" t="s">
        <v>35</v>
      </c>
      <c r="C572">
        <v>18</v>
      </c>
      <c r="D572" s="3" t="s">
        <v>343</v>
      </c>
      <c r="E572">
        <v>0</v>
      </c>
    </row>
    <row r="573" spans="1:8" x14ac:dyDescent="0.3">
      <c r="A573" s="3" t="s">
        <v>360</v>
      </c>
      <c r="B573" s="2" t="s">
        <v>144</v>
      </c>
      <c r="C573">
        <v>1</v>
      </c>
      <c r="D573" s="3" t="s">
        <v>343</v>
      </c>
      <c r="E573">
        <v>0</v>
      </c>
    </row>
    <row r="574" spans="1:8" x14ac:dyDescent="0.3">
      <c r="A574" s="3" t="s">
        <v>360</v>
      </c>
      <c r="B574" s="2" t="s">
        <v>36</v>
      </c>
      <c r="C574">
        <v>1</v>
      </c>
      <c r="D574" s="3" t="s">
        <v>344</v>
      </c>
      <c r="E574">
        <v>0</v>
      </c>
      <c r="G574">
        <f>SUM(C$522:C$575)</f>
        <v>514</v>
      </c>
      <c r="H574">
        <v>514</v>
      </c>
    </row>
    <row r="575" spans="1:8" x14ac:dyDescent="0.3">
      <c r="A575" s="3" t="s">
        <v>360</v>
      </c>
      <c r="B575" s="2" t="s">
        <v>125</v>
      </c>
      <c r="C575">
        <v>4</v>
      </c>
      <c r="D575" s="3" t="s">
        <v>344</v>
      </c>
      <c r="E575">
        <v>0</v>
      </c>
      <c r="G575">
        <f>COUNT(C$522:C$575)</f>
        <v>54</v>
      </c>
      <c r="H575">
        <v>49</v>
      </c>
    </row>
    <row r="576" spans="1:8" x14ac:dyDescent="0.3">
      <c r="A576" s="3" t="s">
        <v>361</v>
      </c>
      <c r="B576" s="3" t="s">
        <v>309</v>
      </c>
      <c r="C576">
        <v>1</v>
      </c>
      <c r="D576" s="3" t="s">
        <v>343</v>
      </c>
      <c r="E576">
        <v>1</v>
      </c>
      <c r="F576" s="3" t="s">
        <v>329</v>
      </c>
    </row>
    <row r="577" spans="1:5" x14ac:dyDescent="0.3">
      <c r="A577" s="3" t="s">
        <v>361</v>
      </c>
      <c r="B577" s="2" t="s">
        <v>152</v>
      </c>
      <c r="C577">
        <v>1</v>
      </c>
      <c r="D577" s="3" t="s">
        <v>344</v>
      </c>
      <c r="E577" s="3">
        <v>0</v>
      </c>
    </row>
    <row r="578" spans="1:5" x14ac:dyDescent="0.3">
      <c r="A578" s="3" t="s">
        <v>361</v>
      </c>
      <c r="B578" s="2" t="s">
        <v>220</v>
      </c>
      <c r="C578">
        <v>2</v>
      </c>
      <c r="D578" s="3" t="s">
        <v>344</v>
      </c>
      <c r="E578" s="3">
        <v>0</v>
      </c>
    </row>
    <row r="579" spans="1:5" x14ac:dyDescent="0.3">
      <c r="A579" s="3" t="s">
        <v>361</v>
      </c>
      <c r="B579" s="2" t="s">
        <v>154</v>
      </c>
      <c r="C579">
        <v>2</v>
      </c>
      <c r="D579" s="3" t="s">
        <v>344</v>
      </c>
      <c r="E579" s="3">
        <v>0</v>
      </c>
    </row>
    <row r="580" spans="1:5" x14ac:dyDescent="0.3">
      <c r="A580" s="3" t="s">
        <v>361</v>
      </c>
      <c r="B580" s="2" t="s">
        <v>147</v>
      </c>
      <c r="C580">
        <v>1</v>
      </c>
      <c r="D580" s="3" t="s">
        <v>344</v>
      </c>
      <c r="E580" s="3">
        <v>0</v>
      </c>
    </row>
    <row r="581" spans="1:5" x14ac:dyDescent="0.3">
      <c r="A581" s="3" t="s">
        <v>361</v>
      </c>
      <c r="B581" s="2" t="s">
        <v>98</v>
      </c>
      <c r="C581">
        <v>2</v>
      </c>
      <c r="D581" s="3" t="s">
        <v>344</v>
      </c>
      <c r="E581" s="3">
        <v>0</v>
      </c>
    </row>
    <row r="582" spans="1:5" x14ac:dyDescent="0.3">
      <c r="A582" s="3" t="s">
        <v>361</v>
      </c>
      <c r="B582" s="2" t="s">
        <v>151</v>
      </c>
      <c r="C582">
        <v>21</v>
      </c>
      <c r="D582" s="3" t="s">
        <v>344</v>
      </c>
      <c r="E582" s="3">
        <v>0</v>
      </c>
    </row>
    <row r="583" spans="1:5" x14ac:dyDescent="0.3">
      <c r="A583" s="3" t="s">
        <v>361</v>
      </c>
      <c r="B583" s="3" t="s">
        <v>333</v>
      </c>
      <c r="C583" s="3">
        <v>20</v>
      </c>
      <c r="D583" s="3" t="s">
        <v>344</v>
      </c>
      <c r="E583" s="3">
        <v>0</v>
      </c>
    </row>
    <row r="584" spans="1:5" x14ac:dyDescent="0.3">
      <c r="A584" s="3" t="s">
        <v>361</v>
      </c>
      <c r="B584" s="3" t="s">
        <v>333</v>
      </c>
      <c r="C584" s="3">
        <v>1</v>
      </c>
      <c r="D584" s="3" t="s">
        <v>157</v>
      </c>
      <c r="E584" s="3">
        <v>0</v>
      </c>
    </row>
    <row r="585" spans="1:5" x14ac:dyDescent="0.3">
      <c r="A585" s="3" t="s">
        <v>361</v>
      </c>
      <c r="B585" s="2" t="s">
        <v>137</v>
      </c>
      <c r="C585">
        <v>1</v>
      </c>
      <c r="D585" s="3" t="s">
        <v>344</v>
      </c>
      <c r="E585" s="3">
        <v>0</v>
      </c>
    </row>
    <row r="586" spans="1:5" x14ac:dyDescent="0.3">
      <c r="A586" s="3" t="s">
        <v>361</v>
      </c>
      <c r="B586" s="2" t="s">
        <v>170</v>
      </c>
      <c r="C586">
        <v>1</v>
      </c>
      <c r="D586" s="3" t="s">
        <v>344</v>
      </c>
      <c r="E586" s="3">
        <v>0</v>
      </c>
    </row>
    <row r="587" spans="1:5" x14ac:dyDescent="0.3">
      <c r="A587" s="3" t="s">
        <v>361</v>
      </c>
      <c r="B587" s="2" t="s">
        <v>20</v>
      </c>
      <c r="C587">
        <v>8</v>
      </c>
      <c r="D587" s="3" t="s">
        <v>344</v>
      </c>
      <c r="E587" s="3">
        <v>0</v>
      </c>
    </row>
    <row r="588" spans="1:5" x14ac:dyDescent="0.3">
      <c r="A588" s="3" t="s">
        <v>361</v>
      </c>
      <c r="B588" s="2" t="s">
        <v>138</v>
      </c>
      <c r="C588">
        <v>14</v>
      </c>
      <c r="D588" s="3" t="s">
        <v>344</v>
      </c>
      <c r="E588" s="3">
        <v>0</v>
      </c>
    </row>
    <row r="589" spans="1:5" x14ac:dyDescent="0.3">
      <c r="A589" s="3" t="s">
        <v>361</v>
      </c>
      <c r="B589" s="2" t="s">
        <v>103</v>
      </c>
      <c r="C589">
        <v>2</v>
      </c>
      <c r="D589" s="3" t="s">
        <v>344</v>
      </c>
      <c r="E589" s="3">
        <v>0</v>
      </c>
    </row>
    <row r="590" spans="1:5" x14ac:dyDescent="0.3">
      <c r="A590" s="3" t="s">
        <v>361</v>
      </c>
      <c r="B590" s="2" t="s">
        <v>103</v>
      </c>
      <c r="C590">
        <v>1</v>
      </c>
      <c r="D590" s="3" t="s">
        <v>157</v>
      </c>
      <c r="E590" s="3">
        <v>0</v>
      </c>
    </row>
    <row r="591" spans="1:5" x14ac:dyDescent="0.3">
      <c r="A591" s="3" t="s">
        <v>361</v>
      </c>
      <c r="B591" s="2" t="s">
        <v>209</v>
      </c>
      <c r="C591">
        <v>1</v>
      </c>
      <c r="D591" s="3" t="s">
        <v>344</v>
      </c>
      <c r="E591" s="3">
        <v>0</v>
      </c>
    </row>
    <row r="592" spans="1:5" x14ac:dyDescent="0.3">
      <c r="A592" s="3" t="s">
        <v>361</v>
      </c>
      <c r="B592" s="2" t="s">
        <v>120</v>
      </c>
      <c r="C592">
        <v>5</v>
      </c>
      <c r="D592" s="3" t="s">
        <v>344</v>
      </c>
      <c r="E592" s="3">
        <v>0</v>
      </c>
    </row>
    <row r="593" spans="1:6" x14ac:dyDescent="0.3">
      <c r="A593" s="3" t="s">
        <v>361</v>
      </c>
      <c r="B593" s="2" t="s">
        <v>82</v>
      </c>
      <c r="C593">
        <v>1</v>
      </c>
      <c r="D593" s="3" t="s">
        <v>344</v>
      </c>
      <c r="E593" s="3">
        <v>0</v>
      </c>
    </row>
    <row r="594" spans="1:6" x14ac:dyDescent="0.3">
      <c r="A594" s="3" t="s">
        <v>361</v>
      </c>
      <c r="B594" s="2" t="s">
        <v>32</v>
      </c>
      <c r="C594">
        <v>2</v>
      </c>
      <c r="D594" s="3" t="s">
        <v>343</v>
      </c>
      <c r="E594" s="3">
        <v>0</v>
      </c>
    </row>
    <row r="595" spans="1:6" x14ac:dyDescent="0.3">
      <c r="A595" s="3" t="s">
        <v>361</v>
      </c>
      <c r="B595" s="2" t="s">
        <v>85</v>
      </c>
      <c r="C595">
        <v>4</v>
      </c>
      <c r="D595" s="3" t="s">
        <v>344</v>
      </c>
      <c r="E595" s="3">
        <v>0</v>
      </c>
    </row>
    <row r="596" spans="1:6" x14ac:dyDescent="0.3">
      <c r="A596" s="3" t="s">
        <v>361</v>
      </c>
      <c r="B596" s="2" t="s">
        <v>9</v>
      </c>
      <c r="C596">
        <v>23</v>
      </c>
      <c r="D596" s="3" t="s">
        <v>344</v>
      </c>
      <c r="E596" s="3">
        <v>0</v>
      </c>
    </row>
    <row r="597" spans="1:6" x14ac:dyDescent="0.3">
      <c r="A597" s="3" t="s">
        <v>361</v>
      </c>
      <c r="B597" s="2" t="s">
        <v>196</v>
      </c>
      <c r="C597">
        <v>2</v>
      </c>
      <c r="D597" s="3" t="s">
        <v>344</v>
      </c>
      <c r="E597" s="3">
        <v>0</v>
      </c>
    </row>
    <row r="598" spans="1:6" x14ac:dyDescent="0.3">
      <c r="A598" s="3" t="s">
        <v>361</v>
      </c>
      <c r="B598" s="2" t="s">
        <v>179</v>
      </c>
      <c r="C598">
        <v>2</v>
      </c>
      <c r="D598" s="3" t="s">
        <v>344</v>
      </c>
      <c r="E598" s="3">
        <v>0</v>
      </c>
      <c r="F598" s="3" t="s">
        <v>345</v>
      </c>
    </row>
    <row r="599" spans="1:6" x14ac:dyDescent="0.3">
      <c r="A599" s="3" t="s">
        <v>361</v>
      </c>
      <c r="B599" s="2" t="s">
        <v>179</v>
      </c>
      <c r="C599">
        <v>1</v>
      </c>
      <c r="D599" s="3" t="s">
        <v>224</v>
      </c>
      <c r="E599" s="3">
        <v>0</v>
      </c>
    </row>
    <row r="600" spans="1:6" x14ac:dyDescent="0.3">
      <c r="A600" s="3" t="s">
        <v>361</v>
      </c>
      <c r="B600" s="2" t="s">
        <v>206</v>
      </c>
      <c r="C600">
        <v>10</v>
      </c>
      <c r="D600" s="3" t="s">
        <v>344</v>
      </c>
      <c r="E600" s="3">
        <v>0</v>
      </c>
    </row>
    <row r="601" spans="1:6" x14ac:dyDescent="0.3">
      <c r="A601" s="3" t="s">
        <v>361</v>
      </c>
      <c r="B601" s="2" t="s">
        <v>105</v>
      </c>
      <c r="C601">
        <v>2</v>
      </c>
      <c r="D601" s="3" t="s">
        <v>344</v>
      </c>
      <c r="E601" s="3">
        <v>0</v>
      </c>
    </row>
    <row r="602" spans="1:6" x14ac:dyDescent="0.3">
      <c r="A602" s="3" t="s">
        <v>361</v>
      </c>
      <c r="B602" t="s">
        <v>71</v>
      </c>
      <c r="C602">
        <v>11</v>
      </c>
      <c r="D602" s="3" t="s">
        <v>343</v>
      </c>
      <c r="E602">
        <v>0</v>
      </c>
    </row>
    <row r="603" spans="1:6" x14ac:dyDescent="0.3">
      <c r="A603" s="3" t="s">
        <v>361</v>
      </c>
      <c r="B603" s="2" t="s">
        <v>104</v>
      </c>
      <c r="C603">
        <v>22</v>
      </c>
      <c r="D603" s="3" t="s">
        <v>344</v>
      </c>
      <c r="E603" s="3">
        <v>0</v>
      </c>
    </row>
    <row r="604" spans="1:6" x14ac:dyDescent="0.3">
      <c r="A604" s="3" t="s">
        <v>361</v>
      </c>
      <c r="B604" s="2" t="s">
        <v>104</v>
      </c>
      <c r="C604">
        <v>2</v>
      </c>
      <c r="D604" s="3" t="s">
        <v>224</v>
      </c>
      <c r="E604" s="3">
        <v>0</v>
      </c>
    </row>
    <row r="605" spans="1:6" x14ac:dyDescent="0.3">
      <c r="A605" s="3" t="s">
        <v>361</v>
      </c>
      <c r="B605" s="2" t="s">
        <v>153</v>
      </c>
      <c r="C605">
        <v>5</v>
      </c>
      <c r="D605" s="3" t="s">
        <v>344</v>
      </c>
      <c r="E605" s="3">
        <v>0</v>
      </c>
    </row>
    <row r="606" spans="1:6" x14ac:dyDescent="0.3">
      <c r="A606" s="3" t="s">
        <v>361</v>
      </c>
      <c r="B606" s="3" t="s">
        <v>310</v>
      </c>
      <c r="C606" s="3">
        <v>29</v>
      </c>
      <c r="D606" s="3" t="s">
        <v>344</v>
      </c>
      <c r="E606" s="3">
        <v>0</v>
      </c>
    </row>
    <row r="607" spans="1:6" x14ac:dyDescent="0.3">
      <c r="A607" s="3" t="s">
        <v>361</v>
      </c>
      <c r="B607" t="s">
        <v>72</v>
      </c>
      <c r="C607">
        <v>13</v>
      </c>
      <c r="D607" s="3" t="s">
        <v>343</v>
      </c>
      <c r="E607" s="3">
        <v>0</v>
      </c>
    </row>
    <row r="608" spans="1:6" x14ac:dyDescent="0.3">
      <c r="A608" s="3" t="s">
        <v>361</v>
      </c>
      <c r="B608" s="2" t="s">
        <v>114</v>
      </c>
      <c r="C608">
        <v>7</v>
      </c>
      <c r="D608" s="3" t="s">
        <v>344</v>
      </c>
      <c r="E608" s="3">
        <v>0</v>
      </c>
    </row>
    <row r="609" spans="1:8" x14ac:dyDescent="0.3">
      <c r="A609" s="3" t="s">
        <v>361</v>
      </c>
      <c r="B609" s="2" t="s">
        <v>150</v>
      </c>
      <c r="C609">
        <v>1</v>
      </c>
      <c r="D609" s="3" t="s">
        <v>344</v>
      </c>
      <c r="E609" s="3">
        <v>0</v>
      </c>
    </row>
    <row r="610" spans="1:8" x14ac:dyDescent="0.3">
      <c r="A610" s="3" t="s">
        <v>361</v>
      </c>
      <c r="B610" s="2" t="s">
        <v>149</v>
      </c>
      <c r="C610">
        <v>2</v>
      </c>
      <c r="D610" s="3" t="s">
        <v>344</v>
      </c>
      <c r="E610" s="3">
        <v>0</v>
      </c>
    </row>
    <row r="611" spans="1:8" x14ac:dyDescent="0.3">
      <c r="A611" s="3" t="s">
        <v>361</v>
      </c>
      <c r="B611" s="2" t="s">
        <v>39</v>
      </c>
      <c r="C611">
        <v>4</v>
      </c>
      <c r="D611" s="3" t="s">
        <v>344</v>
      </c>
      <c r="E611" s="3">
        <v>0</v>
      </c>
    </row>
    <row r="612" spans="1:8" x14ac:dyDescent="0.3">
      <c r="A612" s="3" t="s">
        <v>361</v>
      </c>
      <c r="B612" s="2" t="s">
        <v>49</v>
      </c>
      <c r="C612">
        <v>2</v>
      </c>
      <c r="D612" s="3" t="s">
        <v>344</v>
      </c>
      <c r="E612" s="3">
        <v>0</v>
      </c>
    </row>
    <row r="613" spans="1:8" x14ac:dyDescent="0.3">
      <c r="A613" s="3" t="s">
        <v>361</v>
      </c>
      <c r="B613" s="3" t="s">
        <v>334</v>
      </c>
      <c r="C613" s="3">
        <v>13</v>
      </c>
      <c r="D613" s="3" t="s">
        <v>344</v>
      </c>
      <c r="E613" s="3">
        <v>0</v>
      </c>
    </row>
    <row r="614" spans="1:8" x14ac:dyDescent="0.3">
      <c r="A614" s="3" t="s">
        <v>361</v>
      </c>
      <c r="B614" s="2" t="s">
        <v>35</v>
      </c>
      <c r="C614">
        <v>6</v>
      </c>
      <c r="D614" s="3" t="s">
        <v>343</v>
      </c>
      <c r="E614" s="3">
        <v>0</v>
      </c>
      <c r="G614">
        <f>SUM(C$576:C$615)</f>
        <v>250</v>
      </c>
      <c r="H614">
        <v>250</v>
      </c>
    </row>
    <row r="615" spans="1:8" x14ac:dyDescent="0.3">
      <c r="A615" s="3" t="s">
        <v>361</v>
      </c>
      <c r="B615" s="2" t="s">
        <v>144</v>
      </c>
      <c r="C615">
        <v>2</v>
      </c>
      <c r="D615" s="3" t="s">
        <v>343</v>
      </c>
      <c r="E615" s="3">
        <v>0</v>
      </c>
      <c r="G615">
        <f>COUNT(C$576:C$615)</f>
        <v>40</v>
      </c>
      <c r="H615">
        <v>36</v>
      </c>
    </row>
  </sheetData>
  <sortState xmlns:xlrd2="http://schemas.microsoft.com/office/spreadsheetml/2017/richdata2" ref="B573:F612">
    <sortCondition ref="B573:B612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D117-7DBC-4B64-98A2-512678E9AD9F}">
  <dimension ref="A1:AU21"/>
  <sheetViews>
    <sheetView tabSelected="1" zoomScale="90" zoomScaleNormal="90" workbookViewId="0">
      <pane xSplit="2" ySplit="2" topLeftCell="C3" activePane="bottomRight" state="frozen"/>
      <selection pane="topRight" activeCell="H1" sqref="H1"/>
      <selection pane="bottomLeft" activeCell="A3" sqref="A3"/>
      <selection pane="bottomRight" activeCell="B12" sqref="B12"/>
    </sheetView>
  </sheetViews>
  <sheetFormatPr defaultColWidth="11.07421875" defaultRowHeight="13.5" x14ac:dyDescent="0.3"/>
  <cols>
    <col min="3" max="3" width="10.69140625" customWidth="1"/>
  </cols>
  <sheetData>
    <row r="1" spans="1:47" x14ac:dyDescent="0.3">
      <c r="C1" t="s">
        <v>142</v>
      </c>
      <c r="D1" t="s">
        <v>169</v>
      </c>
      <c r="E1" t="s">
        <v>176</v>
      </c>
      <c r="F1" t="s">
        <v>182</v>
      </c>
      <c r="G1" t="s">
        <v>183</v>
      </c>
      <c r="H1" t="s">
        <v>186</v>
      </c>
      <c r="I1" t="s">
        <v>188</v>
      </c>
      <c r="J1" t="s">
        <v>195</v>
      </c>
      <c r="K1" t="s">
        <v>197</v>
      </c>
      <c r="L1" s="3" t="s">
        <v>301</v>
      </c>
      <c r="M1" s="3" t="s">
        <v>311</v>
      </c>
      <c r="N1" s="3" t="s">
        <v>312</v>
      </c>
      <c r="O1" s="3" t="s">
        <v>313</v>
      </c>
      <c r="P1" s="3" t="s">
        <v>314</v>
      </c>
      <c r="Q1" s="3" t="s">
        <v>315</v>
      </c>
    </row>
    <row r="2" spans="1:47" x14ac:dyDescent="0.3">
      <c r="A2" t="s">
        <v>371</v>
      </c>
      <c r="C2" s="4">
        <v>42931</v>
      </c>
      <c r="D2" s="4">
        <v>42931</v>
      </c>
      <c r="E2" s="4">
        <v>42931</v>
      </c>
      <c r="F2" s="4">
        <v>42931</v>
      </c>
      <c r="G2" s="4">
        <v>42931</v>
      </c>
      <c r="H2" s="4">
        <v>42931</v>
      </c>
      <c r="I2" s="4">
        <v>42928</v>
      </c>
      <c r="J2" s="4">
        <v>42928</v>
      </c>
      <c r="K2" s="4">
        <v>42928</v>
      </c>
      <c r="L2" s="4">
        <v>42924</v>
      </c>
      <c r="M2" s="4">
        <v>42924</v>
      </c>
      <c r="N2" s="4">
        <v>42924</v>
      </c>
      <c r="O2" s="4">
        <v>42924</v>
      </c>
      <c r="P2" s="4">
        <v>42924</v>
      </c>
      <c r="Q2" s="4">
        <v>42924</v>
      </c>
      <c r="R2" s="4"/>
      <c r="T2" s="4"/>
      <c r="V2" s="4"/>
      <c r="X2" s="4"/>
      <c r="Z2" s="4"/>
      <c r="AB2" s="4"/>
      <c r="AD2" s="4"/>
      <c r="AF2" s="4"/>
      <c r="AH2" s="4"/>
      <c r="AS2" s="4"/>
      <c r="AU2" s="4"/>
    </row>
    <row r="3" spans="1:47" x14ac:dyDescent="0.3">
      <c r="A3" s="1" t="s">
        <v>91</v>
      </c>
      <c r="B3" s="1" t="s">
        <v>92</v>
      </c>
    </row>
    <row r="4" spans="1:47" x14ac:dyDescent="0.3">
      <c r="A4" t="s">
        <v>287</v>
      </c>
      <c r="B4" t="s">
        <v>288</v>
      </c>
      <c r="J4">
        <v>1</v>
      </c>
    </row>
    <row r="5" spans="1:47" x14ac:dyDescent="0.3">
      <c r="A5" t="s">
        <v>237</v>
      </c>
    </row>
    <row r="6" spans="1:47" x14ac:dyDescent="0.3">
      <c r="A6" t="s">
        <v>321</v>
      </c>
      <c r="B6" t="s">
        <v>322</v>
      </c>
      <c r="P6">
        <v>1</v>
      </c>
    </row>
    <row r="7" spans="1:47" x14ac:dyDescent="0.3">
      <c r="A7" t="s">
        <v>304</v>
      </c>
      <c r="B7" t="s">
        <v>305</v>
      </c>
      <c r="M7">
        <v>4</v>
      </c>
      <c r="N7">
        <v>2</v>
      </c>
      <c r="P7">
        <v>2</v>
      </c>
    </row>
    <row r="8" spans="1:47" x14ac:dyDescent="0.3">
      <c r="A8" t="s">
        <v>71</v>
      </c>
      <c r="C8">
        <v>14</v>
      </c>
      <c r="D8">
        <v>17</v>
      </c>
      <c r="E8">
        <v>10</v>
      </c>
      <c r="F8">
        <v>23</v>
      </c>
      <c r="G8">
        <v>3</v>
      </c>
      <c r="H8">
        <v>12</v>
      </c>
      <c r="I8">
        <v>53</v>
      </c>
      <c r="J8">
        <v>84</v>
      </c>
      <c r="K8">
        <v>27</v>
      </c>
      <c r="L8">
        <v>26</v>
      </c>
      <c r="M8">
        <v>70</v>
      </c>
      <c r="N8">
        <v>59</v>
      </c>
      <c r="O8">
        <v>26</v>
      </c>
      <c r="P8">
        <v>26</v>
      </c>
      <c r="Q8">
        <v>11</v>
      </c>
    </row>
    <row r="9" spans="1:47" x14ac:dyDescent="0.3">
      <c r="A9" t="s">
        <v>28</v>
      </c>
      <c r="B9" s="1" t="s">
        <v>29</v>
      </c>
      <c r="C9">
        <v>4</v>
      </c>
      <c r="D9">
        <v>28</v>
      </c>
      <c r="E9">
        <v>20</v>
      </c>
      <c r="F9">
        <v>4</v>
      </c>
      <c r="G9">
        <v>10</v>
      </c>
      <c r="H9">
        <v>14</v>
      </c>
      <c r="I9">
        <v>4</v>
      </c>
      <c r="J9">
        <v>21</v>
      </c>
      <c r="K9">
        <v>18</v>
      </c>
      <c r="L9">
        <v>18</v>
      </c>
      <c r="M9">
        <v>15</v>
      </c>
      <c r="N9">
        <v>12</v>
      </c>
      <c r="O9">
        <v>38</v>
      </c>
      <c r="P9">
        <v>31</v>
      </c>
      <c r="Q9">
        <v>11</v>
      </c>
    </row>
    <row r="10" spans="1:47" x14ac:dyDescent="0.3">
      <c r="A10" t="s">
        <v>72</v>
      </c>
      <c r="C10">
        <v>20</v>
      </c>
      <c r="D10">
        <v>28</v>
      </c>
      <c r="E10">
        <v>25</v>
      </c>
      <c r="F10">
        <v>26</v>
      </c>
      <c r="G10">
        <v>6</v>
      </c>
      <c r="H10">
        <v>10</v>
      </c>
      <c r="I10">
        <v>35</v>
      </c>
      <c r="J10">
        <v>85</v>
      </c>
      <c r="K10">
        <v>17</v>
      </c>
      <c r="L10">
        <v>76</v>
      </c>
      <c r="M10">
        <v>68</v>
      </c>
      <c r="N10">
        <v>33</v>
      </c>
      <c r="O10">
        <v>53</v>
      </c>
      <c r="P10">
        <v>57</v>
      </c>
      <c r="Q10">
        <v>13</v>
      </c>
      <c r="AA10" s="2"/>
    </row>
    <row r="11" spans="1:47" x14ac:dyDescent="0.3">
      <c r="A11" s="3" t="s">
        <v>213</v>
      </c>
      <c r="B11" s="3" t="s">
        <v>214</v>
      </c>
      <c r="AA11" s="2"/>
    </row>
    <row r="12" spans="1:47" x14ac:dyDescent="0.3">
      <c r="A12" s="3" t="s">
        <v>73</v>
      </c>
      <c r="B12" s="3" t="s">
        <v>42</v>
      </c>
      <c r="C12">
        <v>36</v>
      </c>
      <c r="D12">
        <v>46</v>
      </c>
      <c r="E12">
        <v>72</v>
      </c>
      <c r="F12">
        <v>38</v>
      </c>
      <c r="G12">
        <v>22</v>
      </c>
      <c r="H12">
        <v>56</v>
      </c>
      <c r="I12">
        <v>39</v>
      </c>
      <c r="J12">
        <v>39</v>
      </c>
      <c r="K12">
        <v>35</v>
      </c>
      <c r="L12">
        <v>47</v>
      </c>
      <c r="M12">
        <v>18</v>
      </c>
      <c r="N12">
        <v>13</v>
      </c>
      <c r="O12">
        <v>74</v>
      </c>
      <c r="P12">
        <v>73</v>
      </c>
      <c r="Q12">
        <v>32</v>
      </c>
      <c r="AA12" s="2"/>
    </row>
    <row r="13" spans="1:47" x14ac:dyDescent="0.3">
      <c r="A13" s="3"/>
      <c r="B13" t="s">
        <v>47</v>
      </c>
      <c r="C13">
        <v>43</v>
      </c>
      <c r="D13">
        <v>67</v>
      </c>
      <c r="E13">
        <v>59</v>
      </c>
      <c r="F13">
        <v>47</v>
      </c>
      <c r="G13">
        <v>45</v>
      </c>
      <c r="H13">
        <v>98</v>
      </c>
      <c r="I13">
        <v>54</v>
      </c>
      <c r="J13">
        <v>42</v>
      </c>
      <c r="K13">
        <v>60</v>
      </c>
      <c r="L13">
        <v>56</v>
      </c>
      <c r="M13">
        <v>37</v>
      </c>
      <c r="N13">
        <v>59</v>
      </c>
      <c r="O13">
        <v>61</v>
      </c>
      <c r="P13">
        <v>58</v>
      </c>
      <c r="Q13">
        <v>49</v>
      </c>
      <c r="AA13" s="2"/>
    </row>
    <row r="14" spans="1:47" x14ac:dyDescent="0.3">
      <c r="A14" s="3"/>
      <c r="B14" t="s">
        <v>18</v>
      </c>
      <c r="C14">
        <v>25</v>
      </c>
      <c r="D14">
        <v>64</v>
      </c>
      <c r="E14">
        <v>56</v>
      </c>
      <c r="F14">
        <v>63</v>
      </c>
      <c r="G14">
        <v>70</v>
      </c>
      <c r="H14">
        <v>74</v>
      </c>
      <c r="I14">
        <v>20</v>
      </c>
      <c r="J14">
        <v>16</v>
      </c>
      <c r="K14">
        <v>2</v>
      </c>
      <c r="L14">
        <v>26</v>
      </c>
      <c r="M14">
        <v>54</v>
      </c>
      <c r="N14">
        <v>42</v>
      </c>
      <c r="O14">
        <v>77</v>
      </c>
      <c r="P14">
        <v>57</v>
      </c>
      <c r="Q14">
        <v>30</v>
      </c>
      <c r="AA14" s="2"/>
    </row>
    <row r="15" spans="1:47" x14ac:dyDescent="0.3">
      <c r="A15" s="3"/>
      <c r="B15" t="s">
        <v>200</v>
      </c>
      <c r="C15" s="3"/>
      <c r="D15">
        <v>1</v>
      </c>
      <c r="F15">
        <v>1</v>
      </c>
      <c r="G15">
        <v>0</v>
      </c>
      <c r="H15">
        <v>2</v>
      </c>
      <c r="I15">
        <v>1</v>
      </c>
      <c r="J15">
        <v>2</v>
      </c>
      <c r="K15">
        <v>0</v>
      </c>
      <c r="L15">
        <v>1</v>
      </c>
      <c r="M15">
        <v>1</v>
      </c>
      <c r="N15">
        <v>2</v>
      </c>
      <c r="O15">
        <v>0</v>
      </c>
      <c r="P15">
        <v>0</v>
      </c>
      <c r="Q15">
        <v>0</v>
      </c>
      <c r="AA15" s="2"/>
    </row>
    <row r="16" spans="1:47" x14ac:dyDescent="0.3">
      <c r="B16" s="3" t="s">
        <v>281</v>
      </c>
      <c r="C16" s="3"/>
      <c r="I16" s="3">
        <v>1</v>
      </c>
      <c r="J16" s="3"/>
      <c r="K16">
        <v>1</v>
      </c>
      <c r="L16" s="3"/>
      <c r="M16" s="3"/>
      <c r="N16" s="3">
        <v>1</v>
      </c>
      <c r="T16" s="3"/>
      <c r="U16" s="3"/>
      <c r="V16" s="3"/>
      <c r="W16" s="3"/>
      <c r="X16" s="3"/>
      <c r="Y16" s="3"/>
    </row>
    <row r="17" spans="2:25" x14ac:dyDescent="0.3">
      <c r="B17" t="s">
        <v>86</v>
      </c>
      <c r="C17" s="3">
        <v>21</v>
      </c>
      <c r="D17" s="3">
        <v>38</v>
      </c>
      <c r="E17" s="3">
        <v>28</v>
      </c>
      <c r="F17">
        <v>51</v>
      </c>
      <c r="G17">
        <v>19</v>
      </c>
      <c r="H17">
        <v>37</v>
      </c>
      <c r="I17">
        <v>33</v>
      </c>
      <c r="J17">
        <v>57</v>
      </c>
      <c r="K17">
        <v>29</v>
      </c>
      <c r="L17">
        <v>99</v>
      </c>
      <c r="M17">
        <v>43</v>
      </c>
      <c r="N17">
        <v>21</v>
      </c>
      <c r="O17">
        <v>87</v>
      </c>
      <c r="P17">
        <v>75</v>
      </c>
      <c r="Q17">
        <v>32</v>
      </c>
      <c r="T17" s="3"/>
      <c r="U17" s="3"/>
      <c r="V17" s="3"/>
      <c r="W17" s="3"/>
      <c r="X17" s="3"/>
      <c r="Y17" s="3"/>
    </row>
    <row r="18" spans="2:25" x14ac:dyDescent="0.3">
      <c r="B18" t="s">
        <v>88</v>
      </c>
      <c r="C18" s="3">
        <v>10</v>
      </c>
      <c r="D18" s="3">
        <v>111</v>
      </c>
      <c r="E18" s="3">
        <v>170</v>
      </c>
      <c r="F18" s="3">
        <v>282</v>
      </c>
      <c r="G18" s="3">
        <v>119</v>
      </c>
      <c r="H18" s="3">
        <v>236</v>
      </c>
      <c r="I18" s="3">
        <v>262</v>
      </c>
      <c r="J18" s="3">
        <v>155</v>
      </c>
      <c r="K18" s="3">
        <v>80</v>
      </c>
      <c r="L18" s="3">
        <v>160</v>
      </c>
      <c r="M18" s="3">
        <v>205</v>
      </c>
      <c r="N18" s="3">
        <v>253</v>
      </c>
      <c r="O18" s="3">
        <v>107</v>
      </c>
      <c r="P18" s="3">
        <v>124</v>
      </c>
      <c r="Q18" s="3">
        <v>68</v>
      </c>
      <c r="T18" s="3"/>
      <c r="U18" s="3"/>
      <c r="V18" s="3"/>
      <c r="W18" s="3"/>
      <c r="X18" s="3"/>
      <c r="Y18" s="3"/>
    </row>
    <row r="19" spans="2:25" x14ac:dyDescent="0.3">
      <c r="D19" s="8"/>
    </row>
    <row r="20" spans="2:25" x14ac:dyDescent="0.3">
      <c r="D20" s="9"/>
    </row>
    <row r="21" spans="2:25" x14ac:dyDescent="0.3">
      <c r="D21" s="6"/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!Readme</vt:lpstr>
      <vt:lpstr>JonLeeComments</vt:lpstr>
      <vt:lpstr> Taxa list level 2</vt:lpstr>
      <vt:lpstr>CSCI</vt:lpstr>
      <vt:lpstr>CountsbyOrder-Class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Lee User</dc:creator>
  <cp:lastModifiedBy>Fong, Darren R</cp:lastModifiedBy>
  <dcterms:created xsi:type="dcterms:W3CDTF">2010-06-18T15:56:03Z</dcterms:created>
  <dcterms:modified xsi:type="dcterms:W3CDTF">2026-03-06T01:29:37Z</dcterms:modified>
</cp:coreProperties>
</file>